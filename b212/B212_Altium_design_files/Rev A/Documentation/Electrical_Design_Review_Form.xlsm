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sj\rigado\lib\altium\templates\Project Template\Documentation\"/>
    </mc:Choice>
  </mc:AlternateContent>
  <bookViews>
    <workbookView xWindow="0" yWindow="0" windowWidth="19620" windowHeight="6480" tabRatio="603" activeTab="1"/>
  </bookViews>
  <sheets>
    <sheet name="Design Review Top" sheetId="1" r:id="rId1"/>
    <sheet name="Review Checklist" sheetId="10" r:id="rId2"/>
    <sheet name="New Library Parts" sheetId="11" r:id="rId3"/>
    <sheet name="PCA Change Log" sheetId="9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7" i="11" l="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U8" i="11"/>
  <c r="V8" i="11" s="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W6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T7" i="11"/>
  <c r="U7" i="11" s="1"/>
  <c r="V7" i="11" s="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6" i="11"/>
  <c r="U6" i="11" s="1"/>
  <c r="W107" i="11" l="1"/>
  <c r="V6" i="11"/>
  <c r="V107" i="11" s="1"/>
  <c r="B17" i="1" s="1"/>
  <c r="I44" i="10"/>
  <c r="D36" i="1"/>
  <c r="E36" i="1"/>
  <c r="A17" i="1" l="1"/>
  <c r="E38" i="1"/>
  <c r="E42" i="1"/>
  <c r="D38" i="1"/>
  <c r="D42" i="1"/>
  <c r="B38" i="1"/>
  <c r="B42" i="1"/>
  <c r="D44" i="10"/>
  <c r="D45" i="10" s="1"/>
  <c r="E44" i="10"/>
  <c r="E45" i="10" s="1"/>
  <c r="F44" i="10"/>
  <c r="F45" i="10" s="1"/>
  <c r="G44" i="10"/>
  <c r="G45" i="10" s="1"/>
  <c r="H44" i="10"/>
  <c r="H45" i="10" s="1"/>
  <c r="C44" i="10"/>
  <c r="C45" i="10" s="1"/>
  <c r="D43" i="10"/>
  <c r="E43" i="10"/>
  <c r="F43" i="10"/>
  <c r="G43" i="10"/>
  <c r="H43" i="10"/>
  <c r="C43" i="10"/>
  <c r="L2" i="11"/>
  <c r="B3" i="11"/>
  <c r="B2" i="11"/>
  <c r="B1" i="11"/>
  <c r="G8" i="1" l="1"/>
  <c r="G6" i="1"/>
  <c r="G11" i="1"/>
  <c r="G7" i="1"/>
  <c r="G9" i="1"/>
  <c r="G10" i="1"/>
  <c r="A7" i="1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B3" i="9" l="1"/>
  <c r="B2" i="9"/>
  <c r="B1" i="9"/>
  <c r="B3" i="10" l="1"/>
  <c r="B2" i="10"/>
  <c r="B1" i="10"/>
  <c r="I2" i="10"/>
  <c r="I2" i="9"/>
</calcChain>
</file>

<file path=xl/sharedStrings.xml><?xml version="1.0" encoding="utf-8"?>
<sst xmlns="http://schemas.openxmlformats.org/spreadsheetml/2006/main" count="281" uniqueCount="142">
  <si>
    <t>Project:</t>
  </si>
  <si>
    <t>Num</t>
  </si>
  <si>
    <t>BOM</t>
  </si>
  <si>
    <t>Date</t>
  </si>
  <si>
    <t>Reviewed By</t>
  </si>
  <si>
    <t>Board:</t>
  </si>
  <si>
    <t>Part Num</t>
  </si>
  <si>
    <t>New Library Parts</t>
  </si>
  <si>
    <t>Reviewer Comments</t>
  </si>
  <si>
    <t>Pass/Fail</t>
  </si>
  <si>
    <t>Schematic</t>
  </si>
  <si>
    <t>Ref Des</t>
  </si>
  <si>
    <t>Type</t>
  </si>
  <si>
    <t>Circuit Type</t>
  </si>
  <si>
    <t>Section Name</t>
  </si>
  <si>
    <t>Fab Package</t>
  </si>
  <si>
    <t>Gerber</t>
  </si>
  <si>
    <t>Assembly Dwg</t>
  </si>
  <si>
    <t>PDF</t>
  </si>
  <si>
    <t>Excel</t>
  </si>
  <si>
    <t>Cover Sheet</t>
  </si>
  <si>
    <t>Doc Ver:</t>
  </si>
  <si>
    <t>Version:</t>
  </si>
  <si>
    <t>Power</t>
  </si>
  <si>
    <t>Analog &amp; RF</t>
  </si>
  <si>
    <t>PCB Layout</t>
  </si>
  <si>
    <t>Role</t>
  </si>
  <si>
    <t>Name</t>
  </si>
  <si>
    <t>Comment</t>
  </si>
  <si>
    <t>Review Date</t>
  </si>
  <si>
    <t>Designer:</t>
  </si>
  <si>
    <t>Start Date:</t>
  </si>
  <si>
    <t>Electrical</t>
  </si>
  <si>
    <t>Mechanical</t>
  </si>
  <si>
    <t>Firmware</t>
  </si>
  <si>
    <t>Prj. Man.</t>
  </si>
  <si>
    <t>Reviewer</t>
  </si>
  <si>
    <t>Review Covers</t>
  </si>
  <si>
    <t>Rigado Electrical Design Review Form</t>
  </si>
  <si>
    <t>Change Effects</t>
  </si>
  <si>
    <t>Schem</t>
  </si>
  <si>
    <t>PCB</t>
  </si>
  <si>
    <t>Other</t>
  </si>
  <si>
    <t>Change Description</t>
  </si>
  <si>
    <t>Reason for Change</t>
  </si>
  <si>
    <t>PCB Change Log</t>
  </si>
  <si>
    <t>Review Checklist</t>
  </si>
  <si>
    <t>Requirement</t>
  </si>
  <si>
    <t>Reviewer 1</t>
  </si>
  <si>
    <t>Reviewer 2</t>
  </si>
  <si>
    <t>Parts Library</t>
  </si>
  <si>
    <t>Microcontrollers/Processors</t>
  </si>
  <si>
    <t>High Speed Signals</t>
  </si>
  <si>
    <t>All parts used in design are released.</t>
  </si>
  <si>
    <t>Schematic is clean and easy to follow.</t>
  </si>
  <si>
    <t>All documentation fields are filled out correctly.</t>
  </si>
  <si>
    <t>All schematic symbols are correct and created to Rigado standards.</t>
  </si>
  <si>
    <t>All footprints are correct and created to Rigado standards.</t>
  </si>
  <si>
    <t>Schematic is annotated with notes for all serial buses, high speed routing, and analog circuits present.</t>
  </si>
  <si>
    <t>PCB shape is correct and manufacutrable.</t>
  </si>
  <si>
    <t>All components are sufficently spaced from other components, pcb features and enclosure.</t>
  </si>
  <si>
    <t>PCB passes Design Rule Check for all copper and solder mask rules.</t>
  </si>
  <si>
    <t>Power supply chain comes up in correct order by default.</t>
  </si>
  <si>
    <t>All power supplies are pinned out correctly with pull-up/down resistors if needed.</t>
  </si>
  <si>
    <t>All external power connections have ESD and appropriate surge/reverse voltage protection.</t>
  </si>
  <si>
    <t>All power supplies are routed efficently and to Rigado standards.</t>
  </si>
  <si>
    <t>All power supplies and components are rated for current and voltage requirements of rails.</t>
  </si>
  <si>
    <t>All power/ground pins are correctly connected to correct rail with adequate decoupling capacitors.</t>
  </si>
  <si>
    <t>All power planes and paths sufficently large to carry expected current with minimal routing and layer changes.</t>
  </si>
  <si>
    <t>All serial buses, ADC's, and transcievers are connected to the correct pins and routed properly.</t>
  </si>
  <si>
    <t>All serial buses and control signals have correct pull-up/down resistors.</t>
  </si>
  <si>
    <t>All other GPIO pins are connected properly, pin configuration easily descerable, and desired configuration is valid.</t>
  </si>
  <si>
    <t>All reset, programming, and boot configuration pins are connected properly.</t>
  </si>
  <si>
    <t>All high speed signals/buses are properly labeled with annotation and placed in a net class in schematic.</t>
  </si>
  <si>
    <t>All impedance controlled signals are routed to the correct impedance with an unbroken ground plane on adjacent layers.</t>
  </si>
  <si>
    <t>All op-amps and ADC's input voltage range is within acceptable performance limits of input and has at least one series resistor to allow disconnecting/adjusting input range.</t>
  </si>
  <si>
    <t>Analog circuits are kept away from high power and high speed circuits with stiching ground vias surrounding it.</t>
  </si>
  <si>
    <t>All high speed traces are kept clear of sensitive/high power circuitry and have stitching ground vias on both sides of trace.</t>
  </si>
  <si>
    <t>All RF transmitters are correctly impedance matched, contain a Pi filter for tuning, and do not violate antenna routing requirements.</t>
  </si>
  <si>
    <t>All RF transcievers are kept away from other circuits with stitching ground vias surrounding the trace and antenna.</t>
  </si>
  <si>
    <t>Review Action Items</t>
  </si>
  <si>
    <t>Notes</t>
  </si>
  <si>
    <t>Fixed Date</t>
  </si>
  <si>
    <t>Component Category</t>
  </si>
  <si>
    <t>Database Pass/Fail</t>
  </si>
  <si>
    <t>Symbol Pass/Fail</t>
  </si>
  <si>
    <t>Footprint Pass/Fail</t>
  </si>
  <si>
    <t>N/A</t>
  </si>
  <si>
    <t>Designer Comments</t>
  </si>
  <si>
    <t>Symbol</t>
  </si>
  <si>
    <t>Date Re-checked/Passed</t>
  </si>
  <si>
    <t>Additional review comments</t>
  </si>
  <si>
    <t>All series source resistors, decoupling capacitors, and termination resistors are present on schematic and routed correctly in layout.</t>
  </si>
  <si>
    <t>Footprint</t>
  </si>
  <si>
    <t>Symbol Reuse?</t>
  </si>
  <si>
    <t>Footprint Reuse?</t>
  </si>
  <si>
    <t>Designer Notes</t>
  </si>
  <si>
    <t>New Library Parts Review List</t>
  </si>
  <si>
    <t>Designer</t>
  </si>
  <si>
    <t>Number of Parts</t>
  </si>
  <si>
    <t>Entered By</t>
  </si>
  <si>
    <t>Entered Date</t>
  </si>
  <si>
    <t>Reviewed Date</t>
  </si>
  <si>
    <t>Schematic Sheets</t>
  </si>
  <si>
    <t>Sheet Name</t>
  </si>
  <si>
    <t>Complexity</t>
  </si>
  <si>
    <t>Top</t>
  </si>
  <si>
    <t>Files</t>
  </si>
  <si>
    <t>PCB Layers .G*</t>
  </si>
  <si>
    <t>PCB Soldermask .G*S</t>
  </si>
  <si>
    <t>PCB Silk .G*O</t>
  </si>
  <si>
    <t>PCB Paste .G*P</t>
  </si>
  <si>
    <t>PCB Drill .GG1, .GD1</t>
  </si>
  <si>
    <t xml:space="preserve"> PCB Fab .FAB</t>
  </si>
  <si>
    <t>Drill Files .DRL, .DRR</t>
  </si>
  <si>
    <t>Drill file</t>
  </si>
  <si>
    <t>Aperture File .APR</t>
  </si>
  <si>
    <t>IPC Netlist .IPC</t>
  </si>
  <si>
    <t>Netlist</t>
  </si>
  <si>
    <t>Pick &amp; Place .csv</t>
  </si>
  <si>
    <t>BOM .xlsx</t>
  </si>
  <si>
    <t>Fab Drawing</t>
  </si>
  <si>
    <t>Controlled Impedance</t>
  </si>
  <si>
    <t>Space/Trace</t>
  </si>
  <si>
    <t xml:space="preserve">Number of Layers </t>
  </si>
  <si>
    <t>Layer</t>
  </si>
  <si>
    <t>High Risk Areas</t>
  </si>
  <si>
    <t>Board-to-Board Connection</t>
  </si>
  <si>
    <t>Schem Page</t>
  </si>
  <si>
    <t>Sheet Symbol Link Page</t>
  </si>
  <si>
    <t>ABC-001</t>
  </si>
  <si>
    <t>ABC-001_Board</t>
  </si>
  <si>
    <t>*Place Design Feedback Below*</t>
  </si>
  <si>
    <t>Place all design feedback in "Review action Items" Section in Design Review Top sheet</t>
  </si>
  <si>
    <t>Pass</t>
  </si>
  <si>
    <t>Fail</t>
  </si>
  <si>
    <t>Yes</t>
  </si>
  <si>
    <t>No</t>
  </si>
  <si>
    <t>Select Pass/Fail/N/A from drop down box once reviewed.</t>
  </si>
  <si>
    <t>Changed By</t>
  </si>
  <si>
    <t>Change Date</t>
  </si>
  <si>
    <t>All documentation fields are filled out correctly.  Board name and version are visible in silkscreen on PCB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</si>
</sst>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5">
    <xf numFmtId="0" fontId="0" fillId="0" borderId="0" xfId="0"/>
    <xf numFmtId="0" fontId="0" fillId="0" borderId="0" xfId="0" applyBorder="1"/>
    <xf numFmtId="0" fontId="0" fillId="0" borderId="0" xfId="0" applyFill="1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2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4" borderId="0" xfId="0" applyFont="1" applyFill="1" applyBorder="1" applyProtection="1">
      <protection locked="0"/>
    </xf>
    <xf numFmtId="0" fontId="1" fillId="0" borderId="9" xfId="0" applyFont="1" applyFill="1" applyBorder="1" applyProtection="1">
      <protection locked="0"/>
    </xf>
    <xf numFmtId="0" fontId="1" fillId="0" borderId="7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1" fillId="0" borderId="8" xfId="0" applyFont="1" applyFill="1" applyBorder="1" applyProtection="1">
      <protection locked="0"/>
    </xf>
    <xf numFmtId="0" fontId="1" fillId="0" borderId="4" xfId="0" applyFont="1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5" xfId="0" applyFill="1" applyBorder="1" applyAlignment="1" applyProtection="1">
      <alignment wrapText="1"/>
      <protection locked="0"/>
    </xf>
    <xf numFmtId="0" fontId="1" fillId="0" borderId="6" xfId="0" applyFont="1" applyFill="1" applyBorder="1" applyProtection="1">
      <protection locked="0"/>
    </xf>
    <xf numFmtId="0" fontId="1" fillId="4" borderId="5" xfId="0" applyFont="1" applyFill="1" applyBorder="1" applyAlignment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6" borderId="0" xfId="0" applyFill="1" applyBorder="1" applyProtection="1">
      <protection locked="0"/>
    </xf>
    <xf numFmtId="0" fontId="1" fillId="6" borderId="0" xfId="0" applyFont="1" applyFill="1" applyBorder="1" applyAlignment="1" applyProtection="1">
      <protection locked="0"/>
    </xf>
    <xf numFmtId="0" fontId="0" fillId="6" borderId="0" xfId="0" applyFont="1" applyFill="1" applyBorder="1" applyAlignment="1" applyProtection="1">
      <protection locked="0"/>
    </xf>
    <xf numFmtId="0" fontId="0" fillId="6" borderId="0" xfId="0" applyFill="1" applyAlignment="1" applyProtection="1">
      <alignment wrapText="1"/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 wrapText="1"/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0" fillId="0" borderId="3" xfId="0" applyFill="1" applyBorder="1" applyAlignment="1" applyProtection="1">
      <alignment wrapText="1"/>
      <protection locked="0"/>
    </xf>
    <xf numFmtId="0" fontId="1" fillId="0" borderId="7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 wrapText="1"/>
      <protection locked="0"/>
    </xf>
    <xf numFmtId="0" fontId="0" fillId="0" borderId="8" xfId="0" applyFill="1" applyBorder="1" applyAlignment="1" applyProtection="1">
      <alignment wrapText="1"/>
      <protection locked="0"/>
    </xf>
    <xf numFmtId="0" fontId="1" fillId="0" borderId="4" xfId="0" applyFont="1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 wrapText="1"/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left" wrapText="1"/>
      <protection locked="0"/>
    </xf>
    <xf numFmtId="0" fontId="0" fillId="0" borderId="8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2" fillId="4" borderId="7" xfId="0" applyFont="1" applyFill="1" applyBorder="1" applyProtection="1"/>
    <xf numFmtId="0" fontId="1" fillId="4" borderId="7" xfId="0" applyFont="1" applyFill="1" applyBorder="1" applyProtection="1"/>
    <xf numFmtId="0" fontId="1" fillId="4" borderId="0" xfId="0" applyFont="1" applyFill="1" applyBorder="1" applyProtection="1"/>
    <xf numFmtId="0" fontId="0" fillId="4" borderId="0" xfId="0" applyFill="1" applyBorder="1" applyProtection="1"/>
    <xf numFmtId="0" fontId="0" fillId="4" borderId="4" xfId="0" applyFill="1" applyBorder="1" applyProtection="1"/>
    <xf numFmtId="0" fontId="1" fillId="4" borderId="5" xfId="0" applyFont="1" applyFill="1" applyBorder="1" applyAlignment="1" applyProtection="1"/>
    <xf numFmtId="0" fontId="1" fillId="8" borderId="9" xfId="0" applyFont="1" applyFill="1" applyBorder="1" applyProtection="1"/>
    <xf numFmtId="0" fontId="0" fillId="4" borderId="2" xfId="0" applyFill="1" applyBorder="1" applyProtection="1"/>
    <xf numFmtId="0" fontId="0" fillId="4" borderId="3" xfId="0" applyFill="1" applyBorder="1" applyProtection="1"/>
    <xf numFmtId="0" fontId="0" fillId="4" borderId="8" xfId="0" applyFill="1" applyBorder="1" applyProtection="1"/>
    <xf numFmtId="0" fontId="2" fillId="2" borderId="1" xfId="0" applyFont="1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2" fillId="5" borderId="1" xfId="0" applyFont="1" applyFill="1" applyBorder="1" applyProtection="1"/>
    <xf numFmtId="0" fontId="0" fillId="5" borderId="2" xfId="0" applyFont="1" applyFill="1" applyBorder="1" applyProtection="1"/>
    <xf numFmtId="0" fontId="1" fillId="5" borderId="5" xfId="0" applyFont="1" applyFill="1" applyBorder="1" applyAlignment="1" applyProtection="1">
      <alignment wrapText="1"/>
    </xf>
    <xf numFmtId="0" fontId="2" fillId="3" borderId="1" xfId="0" applyFont="1" applyFill="1" applyBorder="1" applyProtection="1"/>
    <xf numFmtId="0" fontId="0" fillId="3" borderId="2" xfId="0" applyFill="1" applyBorder="1" applyProtection="1"/>
    <xf numFmtId="0" fontId="0" fillId="3" borderId="3" xfId="0" applyFill="1" applyBorder="1" applyProtection="1"/>
    <xf numFmtId="0" fontId="1" fillId="3" borderId="6" xfId="0" applyFont="1" applyFill="1" applyBorder="1" applyAlignment="1" applyProtection="1">
      <alignment wrapText="1"/>
    </xf>
    <xf numFmtId="0" fontId="2" fillId="7" borderId="1" xfId="0" applyFont="1" applyFill="1" applyBorder="1" applyProtection="1"/>
    <xf numFmtId="0" fontId="0" fillId="7" borderId="2" xfId="0" applyFill="1" applyBorder="1" applyProtection="1"/>
    <xf numFmtId="0" fontId="1" fillId="0" borderId="0" xfId="0" applyFont="1" applyFill="1" applyBorder="1" applyAlignment="1" applyProtection="1">
      <alignment horizontal="center"/>
      <protection locked="0"/>
    </xf>
    <xf numFmtId="0" fontId="0" fillId="6" borderId="2" xfId="0" applyFill="1" applyBorder="1" applyProtection="1"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164" fontId="1" fillId="4" borderId="0" xfId="0" applyNumberFormat="1" applyFont="1" applyFill="1" applyBorder="1" applyProtection="1"/>
    <xf numFmtId="0" fontId="2" fillId="4" borderId="0" xfId="0" applyFont="1" applyFill="1"/>
    <xf numFmtId="0" fontId="0" fillId="4" borderId="0" xfId="0" applyFill="1"/>
    <xf numFmtId="0" fontId="1" fillId="4" borderId="0" xfId="0" applyFont="1" applyFill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0" fillId="9" borderId="0" xfId="0" applyFill="1"/>
    <xf numFmtId="0" fontId="0" fillId="5" borderId="0" xfId="0" applyFill="1"/>
    <xf numFmtId="0" fontId="0" fillId="2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5" borderId="0" xfId="0" applyFill="1" applyAlignment="1">
      <alignment wrapText="1"/>
    </xf>
    <xf numFmtId="0" fontId="2" fillId="4" borderId="0" xfId="0" applyFont="1" applyFill="1" applyAlignment="1">
      <alignment horizontal="center"/>
    </xf>
    <xf numFmtId="0" fontId="1" fillId="5" borderId="11" xfId="0" applyFont="1" applyFill="1" applyBorder="1"/>
    <xf numFmtId="0" fontId="1" fillId="5" borderId="10" xfId="0" applyFont="1" applyFill="1" applyBorder="1"/>
    <xf numFmtId="0" fontId="0" fillId="4" borderId="0" xfId="0" applyFill="1" applyBorder="1"/>
    <xf numFmtId="0" fontId="0" fillId="2" borderId="1" xfId="0" applyFill="1" applyBorder="1"/>
    <xf numFmtId="0" fontId="4" fillId="2" borderId="3" xfId="0" applyFont="1" applyFill="1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wrapText="1"/>
    </xf>
    <xf numFmtId="0" fontId="0" fillId="2" borderId="7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4" borderId="1" xfId="0" applyFont="1" applyFill="1" applyBorder="1"/>
    <xf numFmtId="0" fontId="2" fillId="4" borderId="2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2" fillId="4" borderId="7" xfId="0" applyFont="1" applyFill="1" applyBorder="1"/>
    <xf numFmtId="0" fontId="2" fillId="4" borderId="0" xfId="0" applyFont="1" applyFill="1" applyBorder="1"/>
    <xf numFmtId="164" fontId="1" fillId="4" borderId="8" xfId="0" applyNumberFormat="1" applyFont="1" applyFill="1" applyBorder="1" applyProtection="1"/>
    <xf numFmtId="0" fontId="1" fillId="4" borderId="7" xfId="0" applyFont="1" applyFill="1" applyBorder="1"/>
    <xf numFmtId="0" fontId="1" fillId="4" borderId="0" xfId="0" applyFont="1" applyFill="1" applyBorder="1"/>
    <xf numFmtId="0" fontId="0" fillId="4" borderId="8" xfId="0" applyFill="1" applyBorder="1"/>
    <xf numFmtId="0" fontId="0" fillId="4" borderId="7" xfId="0" applyFill="1" applyBorder="1"/>
    <xf numFmtId="0" fontId="4" fillId="4" borderId="0" xfId="0" applyFont="1" applyFill="1" applyBorder="1"/>
    <xf numFmtId="0" fontId="5" fillId="4" borderId="6" xfId="0" applyFont="1" applyFill="1" applyBorder="1"/>
    <xf numFmtId="0" fontId="1" fillId="2" borderId="10" xfId="0" applyFont="1" applyFill="1" applyBorder="1"/>
    <xf numFmtId="0" fontId="1" fillId="2" borderId="12" xfId="0" applyFont="1" applyFill="1" applyBorder="1"/>
    <xf numFmtId="0" fontId="1" fillId="2" borderId="4" xfId="0" applyFont="1" applyFill="1" applyBorder="1" applyAlignment="1" applyProtection="1">
      <alignment horizontal="center" wrapText="1"/>
    </xf>
    <xf numFmtId="0" fontId="1" fillId="5" borderId="4" xfId="0" applyFont="1" applyFill="1" applyBorder="1" applyAlignment="1" applyProtection="1">
      <alignment horizontal="center" wrapText="1"/>
    </xf>
    <xf numFmtId="0" fontId="1" fillId="3" borderId="4" xfId="0" applyFont="1" applyFill="1" applyBorder="1" applyAlignment="1" applyProtection="1">
      <alignment horizontal="center" wrapText="1"/>
    </xf>
    <xf numFmtId="0" fontId="2" fillId="12" borderId="1" xfId="0" applyFont="1" applyFill="1" applyBorder="1" applyProtection="1"/>
    <xf numFmtId="0" fontId="0" fillId="12" borderId="2" xfId="0" applyFill="1" applyBorder="1" applyProtection="1"/>
    <xf numFmtId="0" fontId="1" fillId="12" borderId="4" xfId="0" applyFont="1" applyFill="1" applyBorder="1" applyAlignment="1" applyProtection="1">
      <alignment horizontal="center" wrapText="1"/>
    </xf>
    <xf numFmtId="0" fontId="1" fillId="12" borderId="5" xfId="0" applyFont="1" applyFill="1" applyBorder="1" applyAlignment="1" applyProtection="1">
      <alignment wrapText="1"/>
    </xf>
    <xf numFmtId="0" fontId="0" fillId="12" borderId="3" xfId="0" applyFill="1" applyBorder="1" applyProtection="1"/>
    <xf numFmtId="0" fontId="1" fillId="12" borderId="6" xfId="0" applyFont="1" applyFill="1" applyBorder="1" applyAlignment="1" applyProtection="1">
      <alignment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0" fontId="1" fillId="12" borderId="5" xfId="0" applyFont="1" applyFill="1" applyBorder="1" applyAlignment="1" applyProtection="1">
      <alignment horizont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wrapText="1"/>
    </xf>
    <xf numFmtId="14" fontId="0" fillId="0" borderId="0" xfId="0" applyNumberFormat="1" applyFill="1" applyBorder="1" applyAlignment="1" applyProtection="1">
      <alignment wrapText="1"/>
      <protection locked="0"/>
    </xf>
    <xf numFmtId="0" fontId="5" fillId="0" borderId="0" xfId="0" applyFont="1" applyFill="1" applyBorder="1" applyAlignment="1" applyProtection="1">
      <alignment wrapText="1"/>
      <protection locked="0"/>
    </xf>
    <xf numFmtId="0" fontId="0" fillId="0" borderId="0" xfId="0" applyFill="1" applyBorder="1" applyAlignment="1" applyProtection="1">
      <alignment horizontal="left" wrapText="1"/>
      <protection locked="0"/>
    </xf>
    <xf numFmtId="14" fontId="1" fillId="0" borderId="8" xfId="0" applyNumberFormat="1" applyFont="1" applyFill="1" applyBorder="1" applyProtection="1">
      <protection locked="0"/>
    </xf>
    <xf numFmtId="14" fontId="0" fillId="0" borderId="0" xfId="0" applyNumberFormat="1"/>
    <xf numFmtId="0" fontId="5" fillId="0" borderId="8" xfId="0" applyFont="1" applyFill="1" applyBorder="1" applyAlignment="1" applyProtection="1">
      <alignment wrapText="1"/>
      <protection locked="0"/>
    </xf>
    <xf numFmtId="14" fontId="0" fillId="0" borderId="0" xfId="0" applyNumberFormat="1" applyFill="1" applyAlignment="1" applyProtection="1">
      <alignment wrapText="1"/>
      <protection locked="0"/>
    </xf>
    <xf numFmtId="0" fontId="1" fillId="2" borderId="9" xfId="0" applyFont="1" applyFill="1" applyBorder="1"/>
    <xf numFmtId="14" fontId="0" fillId="0" borderId="0" xfId="0" applyNumberFormat="1" applyFill="1" applyProtection="1">
      <protection locked="0"/>
    </xf>
    <xf numFmtId="14" fontId="0" fillId="0" borderId="0" xfId="0" applyNumberFormat="1" applyFill="1" applyAlignment="1" applyProtection="1">
      <alignment horizontal="center"/>
      <protection locked="0"/>
    </xf>
    <xf numFmtId="14" fontId="0" fillId="0" borderId="5" xfId="0" applyNumberFormat="1" applyFill="1" applyBorder="1" applyProtection="1">
      <protection locked="0"/>
    </xf>
    <xf numFmtId="14" fontId="0" fillId="0" borderId="5" xfId="0" applyNumberFormat="1" applyFill="1" applyBorder="1" applyAlignment="1" applyProtection="1">
      <alignment horizontal="center"/>
      <protection locked="0"/>
    </xf>
    <xf numFmtId="0" fontId="0" fillId="2" borderId="0" xfId="0" applyFill="1" applyBorder="1" applyProtection="1"/>
    <xf numFmtId="14" fontId="0" fillId="0" borderId="0" xfId="0" applyNumberFormat="1" applyBorder="1"/>
    <xf numFmtId="0" fontId="5" fillId="0" borderId="7" xfId="0" applyFont="1" applyFill="1" applyBorder="1" applyAlignment="1" applyProtection="1">
      <alignment wrapText="1"/>
      <protection locked="0"/>
    </xf>
    <xf numFmtId="0" fontId="0" fillId="0" borderId="8" xfId="0" applyBorder="1"/>
    <xf numFmtId="0" fontId="2" fillId="2" borderId="1" xfId="0" applyFont="1" applyFill="1" applyBorder="1"/>
    <xf numFmtId="0" fontId="2" fillId="2" borderId="2" xfId="0" applyFont="1" applyFill="1" applyBorder="1"/>
    <xf numFmtId="0" fontId="0" fillId="2" borderId="2" xfId="0" applyFill="1" applyBorder="1"/>
    <xf numFmtId="0" fontId="2" fillId="2" borderId="7" xfId="0" applyFont="1" applyFill="1" applyBorder="1"/>
    <xf numFmtId="0" fontId="2" fillId="2" borderId="0" xfId="0" applyFont="1" applyFill="1" applyBorder="1"/>
    <xf numFmtId="0" fontId="0" fillId="2" borderId="0" xfId="0" applyFill="1" applyBorder="1"/>
    <xf numFmtId="0" fontId="1" fillId="2" borderId="0" xfId="0" applyFont="1" applyFill="1" applyBorder="1" applyProtection="1"/>
    <xf numFmtId="0" fontId="1" fillId="2" borderId="0" xfId="0" applyFont="1" applyFill="1" applyBorder="1"/>
    <xf numFmtId="0" fontId="0" fillId="2" borderId="8" xfId="0" applyFill="1" applyBorder="1"/>
    <xf numFmtId="164" fontId="1" fillId="2" borderId="0" xfId="0" applyNumberFormat="1" applyFont="1" applyFill="1" applyBorder="1" applyProtection="1"/>
    <xf numFmtId="0" fontId="1" fillId="10" borderId="5" xfId="0" applyFont="1" applyFill="1" applyBorder="1" applyAlignment="1" applyProtection="1">
      <alignment wrapText="1"/>
    </xf>
    <xf numFmtId="0" fontId="1" fillId="10" borderId="6" xfId="0" applyFont="1" applyFill="1" applyBorder="1" applyAlignment="1" applyProtection="1">
      <alignment wrapText="1"/>
    </xf>
    <xf numFmtId="0" fontId="0" fillId="2" borderId="5" xfId="0" applyFill="1" applyBorder="1" applyProtection="1"/>
    <xf numFmtId="0" fontId="1" fillId="10" borderId="4" xfId="0" applyFont="1" applyFill="1" applyBorder="1" applyAlignment="1" applyProtection="1">
      <alignment horizontal="center" wrapText="1"/>
    </xf>
    <xf numFmtId="14" fontId="0" fillId="0" borderId="7" xfId="0" applyNumberFormat="1" applyFill="1" applyBorder="1" applyAlignment="1" applyProtection="1">
      <alignment wrapText="1"/>
      <protection locked="0"/>
    </xf>
    <xf numFmtId="14" fontId="5" fillId="0" borderId="7" xfId="0" applyNumberFormat="1" applyFont="1" applyFill="1" applyBorder="1" applyAlignment="1" applyProtection="1">
      <alignment wrapText="1"/>
      <protection locked="0"/>
    </xf>
    <xf numFmtId="14" fontId="0" fillId="0" borderId="7" xfId="0" applyNumberFormat="1" applyBorder="1"/>
    <xf numFmtId="0" fontId="7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/>
    <xf numFmtId="14" fontId="6" fillId="0" borderId="0" xfId="0" applyNumberFormat="1" applyFont="1" applyFill="1" applyBorder="1"/>
    <xf numFmtId="0" fontId="6" fillId="2" borderId="6" xfId="0" applyFont="1" applyFill="1" applyBorder="1"/>
    <xf numFmtId="0" fontId="0" fillId="0" borderId="0" xfId="0" applyProtection="1"/>
    <xf numFmtId="0" fontId="8" fillId="11" borderId="0" xfId="0" applyFont="1" applyFill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1" fillId="10" borderId="8" xfId="0" applyFont="1" applyFill="1" applyBorder="1" applyAlignment="1" applyProtection="1">
      <alignment wrapText="1"/>
    </xf>
    <xf numFmtId="0" fontId="1" fillId="5" borderId="0" xfId="0" applyFont="1" applyFill="1" applyBorder="1" applyAlignment="1" applyProtection="1">
      <alignment wrapText="1"/>
    </xf>
    <xf numFmtId="0" fontId="1" fillId="5" borderId="8" xfId="0" applyFont="1" applyFill="1" applyBorder="1" applyAlignment="1" applyProtection="1">
      <alignment wrapText="1"/>
    </xf>
    <xf numFmtId="0" fontId="1" fillId="10" borderId="7" xfId="0" applyFont="1" applyFill="1" applyBorder="1" applyAlignment="1" applyProtection="1">
      <alignment wrapText="1"/>
    </xf>
    <xf numFmtId="0" fontId="7" fillId="2" borderId="4" xfId="0" applyFont="1" applyFill="1" applyBorder="1" applyAlignment="1" applyProtection="1">
      <alignment horizontal="center"/>
      <protection locked="0"/>
    </xf>
    <xf numFmtId="0" fontId="6" fillId="2" borderId="5" xfId="0" applyFont="1" applyFill="1" applyBorder="1"/>
    <xf numFmtId="14" fontId="6" fillId="2" borderId="5" xfId="0" applyNumberFormat="1" applyFont="1" applyFill="1" applyBorder="1"/>
    <xf numFmtId="0" fontId="0" fillId="6" borderId="0" xfId="0" applyFill="1" applyBorder="1" applyAlignment="1" applyProtection="1">
      <alignment horizontal="center" wrapText="1"/>
      <protection locked="0"/>
    </xf>
    <xf numFmtId="0" fontId="0" fillId="6" borderId="0" xfId="0" applyFill="1" applyBorder="1" applyAlignment="1" applyProtection="1">
      <alignment wrapText="1"/>
      <protection locked="0"/>
    </xf>
    <xf numFmtId="0" fontId="0" fillId="6" borderId="0" xfId="0" applyFill="1" applyBorder="1" applyAlignment="1" applyProtection="1">
      <alignment horizontal="center"/>
      <protection locked="0"/>
    </xf>
    <xf numFmtId="0" fontId="0" fillId="6" borderId="0" xfId="0" applyFill="1" applyBorder="1" applyProtection="1"/>
    <xf numFmtId="0" fontId="1" fillId="6" borderId="0" xfId="0" applyFont="1" applyFill="1" applyBorder="1" applyAlignment="1" applyProtection="1">
      <alignment wrapText="1"/>
    </xf>
    <xf numFmtId="14" fontId="0" fillId="6" borderId="0" xfId="0" applyNumberFormat="1" applyFill="1" applyBorder="1" applyAlignment="1" applyProtection="1">
      <alignment wrapText="1"/>
      <protection locked="0"/>
    </xf>
    <xf numFmtId="0" fontId="0" fillId="6" borderId="0" xfId="0" applyFill="1" applyBorder="1" applyAlignment="1" applyProtection="1">
      <alignment horizontal="left"/>
      <protection locked="0"/>
    </xf>
    <xf numFmtId="0" fontId="1" fillId="0" borderId="11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/>
    <xf numFmtId="0" fontId="0" fillId="0" borderId="5" xfId="0" applyFill="1" applyBorder="1" applyAlignment="1" applyProtection="1"/>
    <xf numFmtId="164" fontId="1" fillId="4" borderId="0" xfId="0" applyNumberFormat="1" applyFont="1" applyFill="1" applyBorder="1" applyProtection="1">
      <protection locked="0"/>
    </xf>
    <xf numFmtId="14" fontId="1" fillId="0" borderId="9" xfId="0" applyNumberFormat="1" applyFont="1" applyFill="1" applyBorder="1" applyProtection="1">
      <protection locked="0"/>
    </xf>
    <xf numFmtId="0" fontId="9" fillId="4" borderId="1" xfId="0" applyFont="1" applyFill="1" applyBorder="1" applyProtection="1"/>
    <xf numFmtId="0" fontId="9" fillId="4" borderId="2" xfId="0" applyFont="1" applyFill="1" applyBorder="1" applyProtection="1">
      <protection locked="0"/>
    </xf>
    <xf numFmtId="0" fontId="5" fillId="0" borderId="0" xfId="0" applyFont="1" applyFill="1" applyBorder="1"/>
    <xf numFmtId="164" fontId="1" fillId="4" borderId="0" xfId="0" applyNumberFormat="1" applyFont="1" applyFill="1" applyBorder="1" applyAlignment="1">
      <alignment horizontal="left"/>
    </xf>
    <xf numFmtId="164" fontId="1" fillId="4" borderId="0" xfId="0" applyNumberFormat="1" applyFont="1" applyFill="1" applyAlignment="1">
      <alignment horizontal="left"/>
    </xf>
    <xf numFmtId="0" fontId="9" fillId="2" borderId="2" xfId="0" applyFont="1" applyFill="1" applyBorder="1"/>
    <xf numFmtId="0" fontId="5" fillId="6" borderId="7" xfId="0" applyFont="1" applyFill="1" applyBorder="1" applyProtection="1"/>
    <xf numFmtId="0" fontId="5" fillId="6" borderId="0" xfId="0" applyFont="1" applyFill="1" applyBorder="1" applyProtection="1"/>
    <xf numFmtId="0" fontId="1" fillId="5" borderId="5" xfId="0" applyFont="1" applyFill="1" applyBorder="1" applyAlignment="1" applyProtection="1">
      <alignment horizontal="center" wrapText="1"/>
    </xf>
    <xf numFmtId="0" fontId="11" fillId="6" borderId="7" xfId="0" applyFont="1" applyFill="1" applyBorder="1" applyAlignment="1" applyProtection="1">
      <alignment wrapText="1"/>
    </xf>
    <xf numFmtId="0" fontId="11" fillId="6" borderId="0" xfId="0" applyFont="1" applyFill="1" applyBorder="1" applyAlignment="1" applyProtection="1">
      <alignment wrapText="1"/>
    </xf>
    <xf numFmtId="0" fontId="5" fillId="6" borderId="7" xfId="0" applyFont="1" applyFill="1" applyBorder="1" applyAlignment="1" applyProtection="1">
      <alignment wrapText="1"/>
      <protection locked="0"/>
    </xf>
    <xf numFmtId="0" fontId="5" fillId="6" borderId="0" xfId="0" applyFont="1" applyFill="1" applyBorder="1" applyAlignment="1" applyProtection="1">
      <alignment wrapText="1"/>
      <protection locked="0"/>
    </xf>
    <xf numFmtId="14" fontId="5" fillId="6" borderId="0" xfId="0" applyNumberFormat="1" applyFont="1" applyFill="1" applyBorder="1" applyAlignment="1" applyProtection="1">
      <alignment wrapText="1"/>
      <protection locked="0"/>
    </xf>
    <xf numFmtId="0" fontId="0" fillId="6" borderId="7" xfId="0" applyFill="1" applyBorder="1" applyProtection="1"/>
    <xf numFmtId="0" fontId="1" fillId="7" borderId="7" xfId="0" applyFont="1" applyFill="1" applyBorder="1" applyAlignment="1" applyProtection="1">
      <alignment horizontal="center" wrapText="1"/>
    </xf>
    <xf numFmtId="0" fontId="1" fillId="7" borderId="0" xfId="0" applyFont="1" applyFill="1" applyBorder="1" applyAlignment="1" applyProtection="1">
      <alignment horizontal="center" wrapText="1"/>
    </xf>
    <xf numFmtId="0" fontId="1" fillId="7" borderId="0" xfId="0" applyFont="1" applyFill="1" applyBorder="1" applyAlignment="1" applyProtection="1">
      <alignment wrapText="1"/>
    </xf>
    <xf numFmtId="0" fontId="1" fillId="6" borderId="7" xfId="0" applyFont="1" applyFill="1" applyBorder="1" applyAlignment="1" applyProtection="1">
      <alignment wrapText="1"/>
    </xf>
    <xf numFmtId="14" fontId="0" fillId="0" borderId="2" xfId="0" applyNumberFormat="1" applyFill="1" applyBorder="1" applyProtection="1">
      <protection locked="0"/>
    </xf>
    <xf numFmtId="14" fontId="0" fillId="0" borderId="2" xfId="0" applyNumberFormat="1" applyFill="1" applyBorder="1" applyAlignment="1" applyProtection="1">
      <alignment horizontal="center"/>
      <protection locked="0"/>
    </xf>
    <xf numFmtId="14" fontId="0" fillId="6" borderId="0" xfId="0" applyNumberFormat="1" applyFill="1" applyBorder="1" applyProtection="1">
      <protection locked="0"/>
    </xf>
    <xf numFmtId="14" fontId="0" fillId="6" borderId="0" xfId="0" applyNumberFormat="1" applyFill="1" applyBorder="1" applyAlignment="1" applyProtection="1">
      <alignment horizontal="center"/>
      <protection locked="0"/>
    </xf>
    <xf numFmtId="14" fontId="0" fillId="0" borderId="0" xfId="0" applyNumberFormat="1" applyFill="1" applyBorder="1" applyProtection="1"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0" fontId="0" fillId="0" borderId="6" xfId="0" applyFill="1" applyBorder="1" applyAlignment="1" applyProtection="1">
      <alignment wrapText="1"/>
      <protection locked="0"/>
    </xf>
    <xf numFmtId="0" fontId="4" fillId="2" borderId="7" xfId="0" applyFont="1" applyFill="1" applyBorder="1"/>
    <xf numFmtId="164" fontId="4" fillId="2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 applyProtection="1">
      <alignment horizontal="center" wrapText="1"/>
    </xf>
    <xf numFmtId="0" fontId="0" fillId="0" borderId="14" xfId="0" applyFill="1" applyBorder="1" applyAlignment="1" applyProtection="1">
      <alignment horizontal="center" wrapText="1"/>
      <protection locked="0"/>
    </xf>
    <xf numFmtId="0" fontId="0" fillId="0" borderId="13" xfId="0" applyFont="1" applyFill="1" applyBorder="1" applyAlignment="1" applyProtection="1">
      <alignment horizontal="center" wrapText="1"/>
    </xf>
    <xf numFmtId="0" fontId="1" fillId="3" borderId="7" xfId="0" applyFont="1" applyFill="1" applyBorder="1" applyAlignment="1" applyProtection="1">
      <alignment horizontal="center" wrapText="1"/>
    </xf>
    <xf numFmtId="0" fontId="1" fillId="3" borderId="8" xfId="0" applyFont="1" applyFill="1" applyBorder="1" applyAlignment="1" applyProtection="1">
      <alignment horizontal="center" wrapText="1"/>
    </xf>
    <xf numFmtId="0" fontId="0" fillId="0" borderId="13" xfId="0" applyFill="1" applyBorder="1" applyAlignment="1" applyProtection="1">
      <alignment horizontal="center" wrapText="1"/>
      <protection locked="0"/>
    </xf>
    <xf numFmtId="0" fontId="1" fillId="3" borderId="5" xfId="0" applyFont="1" applyFill="1" applyBorder="1" applyAlignment="1" applyProtection="1">
      <alignment horizontal="center" wrapText="1"/>
    </xf>
    <xf numFmtId="0" fontId="1" fillId="6" borderId="0" xfId="0" applyFont="1" applyFill="1" applyBorder="1" applyAlignment="1" applyProtection="1">
      <alignment horizontal="center" wrapText="1"/>
    </xf>
    <xf numFmtId="0" fontId="1" fillId="2" borderId="6" xfId="0" applyFont="1" applyFill="1" applyBorder="1" applyAlignment="1" applyProtection="1">
      <alignment horizontal="center" wrapText="1"/>
    </xf>
    <xf numFmtId="0" fontId="0" fillId="0" borderId="12" xfId="0" applyBorder="1"/>
    <xf numFmtId="14" fontId="5" fillId="0" borderId="0" xfId="0" applyNumberFormat="1" applyFont="1" applyFill="1" applyBorder="1"/>
    <xf numFmtId="0" fontId="5" fillId="0" borderId="0" xfId="0" applyFont="1" applyProtection="1"/>
    <xf numFmtId="14" fontId="0" fillId="0" borderId="0" xfId="0" applyNumberFormat="1" applyAlignment="1">
      <alignment wrapText="1"/>
    </xf>
    <xf numFmtId="0" fontId="2" fillId="12" borderId="2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wrapText="1"/>
      <protection locked="0"/>
    </xf>
    <xf numFmtId="0" fontId="5" fillId="0" borderId="5" xfId="0" applyFont="1" applyFill="1" applyBorder="1" applyAlignment="1" applyProtection="1">
      <alignment wrapText="1"/>
      <protection locked="0"/>
    </xf>
    <xf numFmtId="0" fontId="0" fillId="4" borderId="15" xfId="0" applyFill="1" applyBorder="1"/>
    <xf numFmtId="0" fontId="0" fillId="0" borderId="7" xfId="0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5" fillId="4" borderId="10" xfId="0" applyFont="1" applyFill="1" applyBorder="1" applyAlignment="1">
      <alignment wrapText="1"/>
    </xf>
    <xf numFmtId="0" fontId="5" fillId="4" borderId="10" xfId="0" applyFont="1" applyFill="1" applyBorder="1"/>
    <xf numFmtId="0" fontId="12" fillId="4" borderId="0" xfId="0" applyFont="1" applyFill="1" applyBorder="1" applyAlignment="1">
      <alignment horizontal="center" wrapText="1"/>
    </xf>
    <xf numFmtId="0" fontId="10" fillId="4" borderId="2" xfId="0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1" fillId="5" borderId="10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10" borderId="1" xfId="0" applyFont="1" applyFill="1" applyBorder="1" applyAlignment="1" applyProtection="1">
      <alignment horizontal="center"/>
    </xf>
    <xf numFmtId="0" fontId="4" fillId="10" borderId="3" xfId="0" applyFont="1" applyFill="1" applyBorder="1" applyAlignment="1" applyProtection="1">
      <alignment horizontal="center"/>
    </xf>
    <xf numFmtId="0" fontId="4" fillId="5" borderId="2" xfId="0" applyFont="1" applyFill="1" applyBorder="1" applyAlignment="1" applyProtection="1">
      <alignment horizontal="center"/>
    </xf>
    <xf numFmtId="0" fontId="4" fillId="5" borderId="8" xfId="0" applyFont="1" applyFill="1" applyBorder="1" applyAlignment="1" applyProtection="1">
      <alignment horizontal="center"/>
    </xf>
    <xf numFmtId="0" fontId="4" fillId="10" borderId="1" xfId="0" applyFont="1" applyFill="1" applyBorder="1" applyAlignment="1">
      <alignment horizontal="center"/>
    </xf>
    <xf numFmtId="0" fontId="4" fillId="10" borderId="2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/>
    </xf>
    <xf numFmtId="0" fontId="1" fillId="10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</cellXfs>
  <cellStyles count="1">
    <cellStyle name="Normal" xfId="0" builtinId="0"/>
  </cellStyles>
  <dxfs count="83"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9" formatCode="m/d/yyyy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9" formatCode="m/d/yyyy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strike val="0"/>
        <color theme="0" tint="-0.1499679555650502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B$14" lockText="1" noThreeD="1"/>
</file>

<file path=xl/ctrlProps/ctrlProp2.xml><?xml version="1.0" encoding="utf-8"?>
<formControlPr xmlns="http://schemas.microsoft.com/office/spreadsheetml/2009/9/main" objectType="CheckBox" checked="Checked" fmlaLink="$A$14" lockText="1" noThreeD="1"/>
</file>

<file path=xl/ctrlProps/ctrlProp3.xml><?xml version="1.0" encoding="utf-8"?>
<formControlPr xmlns="http://schemas.microsoft.com/office/spreadsheetml/2009/9/main" objectType="CheckBox" checked="Checked" fmlaLink="$C$14" lockText="1" noThreeD="1"/>
</file>

<file path=xl/ctrlProps/ctrlProp4.xml><?xml version="1.0" encoding="utf-8"?>
<formControlPr xmlns="http://schemas.microsoft.com/office/spreadsheetml/2009/9/main" objectType="CheckBox" fmlaLink="$D$14" lockText="1" noThreeD="1"/>
</file>

<file path=xl/ctrlProps/ctrlProp5.xml><?xml version="1.0" encoding="utf-8"?>
<formControlPr xmlns="http://schemas.microsoft.com/office/spreadsheetml/2009/9/main" objectType="CheckBox" fmlaLink="$E$14" lockText="1" noThreeD="1"/>
</file>

<file path=xl/ctrlProps/ctrlProp6.xml><?xml version="1.0" encoding="utf-8"?>
<formControlPr xmlns="http://schemas.microsoft.com/office/spreadsheetml/2009/9/main" objectType="CheckBox" fmlaLink="$F$14" lockText="1" noThreeD="1"/>
</file>

<file path=xl/ctrlProps/ctrlProp7.xml><?xml version="1.0" encoding="utf-8"?>
<formControlPr xmlns="http://schemas.microsoft.com/office/spreadsheetml/2009/9/main" objectType="CheckBox" checked="Checked" fmlaLink="$G$1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7</xdr:row>
          <xdr:rowOff>171450</xdr:rowOff>
        </xdr:from>
        <xdr:to>
          <xdr:col>1</xdr:col>
          <xdr:colOff>1352550</xdr:colOff>
          <xdr:row>9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Schematic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7</xdr:row>
          <xdr:rowOff>171450</xdr:rowOff>
        </xdr:from>
        <xdr:to>
          <xdr:col>1</xdr:col>
          <xdr:colOff>352425</xdr:colOff>
          <xdr:row>8</xdr:row>
          <xdr:rowOff>190500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Library Parts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161925</xdr:rowOff>
        </xdr:from>
        <xdr:to>
          <xdr:col>1</xdr:col>
          <xdr:colOff>352425</xdr:colOff>
          <xdr:row>9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PCB Layout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8</xdr:row>
          <xdr:rowOff>142875</xdr:rowOff>
        </xdr:from>
        <xdr:to>
          <xdr:col>1</xdr:col>
          <xdr:colOff>1352550</xdr:colOff>
          <xdr:row>9</xdr:row>
          <xdr:rowOff>161925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Fab Package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10</xdr:row>
          <xdr:rowOff>123825</xdr:rowOff>
        </xdr:from>
        <xdr:to>
          <xdr:col>1</xdr:col>
          <xdr:colOff>342900</xdr:colOff>
          <xdr:row>11</xdr:row>
          <xdr:rowOff>142875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Analog &amp; RF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9</xdr:row>
          <xdr:rowOff>123825</xdr:rowOff>
        </xdr:from>
        <xdr:to>
          <xdr:col>1</xdr:col>
          <xdr:colOff>1304925</xdr:colOff>
          <xdr:row>10</xdr:row>
          <xdr:rowOff>142875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High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9</xdr:row>
          <xdr:rowOff>133350</xdr:rowOff>
        </xdr:from>
        <xdr:to>
          <xdr:col>1</xdr:col>
          <xdr:colOff>352425</xdr:colOff>
          <xdr:row>10</xdr:row>
          <xdr:rowOff>152400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MCU/CPU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5:R104" totalsRowShown="0" tableBorderDxfId="19">
  <autoFilter ref="A5:R104"/>
  <tableColumns count="18">
    <tableColumn id="1" name="Num" dataDxfId="18">
      <calculatedColumnFormula>#REF!+1</calculatedColumnFormula>
    </tableColumn>
    <tableColumn id="2" name="Part Num"/>
    <tableColumn id="3" name="Component Category"/>
    <tableColumn id="4" name="Symbol"/>
    <tableColumn id="5" name="Symbol Reuse?"/>
    <tableColumn id="6" name="Footprint"/>
    <tableColumn id="7" name="Footprint Reuse?"/>
    <tableColumn id="8" name="Designer Notes"/>
    <tableColumn id="9" name="Database Pass/Fail" dataDxfId="17"/>
    <tableColumn id="10" name="Symbol Pass/Fail"/>
    <tableColumn id="11" name="Footprint Pass/Fail"/>
    <tableColumn id="12" name="Reviewed By"/>
    <tableColumn id="13" name="Date" dataDxfId="16"/>
    <tableColumn id="14" name="Reviewer Comments" dataDxfId="15"/>
    <tableColumn id="15" name="Fixed Date" dataDxfId="14"/>
    <tableColumn id="16" name="Designer Comments" dataDxfId="13"/>
    <tableColumn id="17" name="Date Re-checked/Passed" dataDxfId="12"/>
    <tableColumn id="18" name="Additional review comments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5:L55" totalsRowShown="0">
  <autoFilter ref="A5:L55"/>
  <sortState ref="A6:L55">
    <sortCondition ref="A5:A55"/>
  </sortState>
  <tableColumns count="12">
    <tableColumn id="1" name="Num" dataDxfId="11"/>
    <tableColumn id="2" name="Schem" dataDxfId="10"/>
    <tableColumn id="3" name="BOM" dataDxfId="9"/>
    <tableColumn id="4" name="PCB" dataDxfId="8"/>
    <tableColumn id="5" name="Other" dataDxfId="7"/>
    <tableColumn id="6" name="Change Description" dataDxfId="6"/>
    <tableColumn id="7" name="Reason for Change" dataDxfId="5"/>
    <tableColumn id="8" name="Changed By" dataDxfId="4"/>
    <tableColumn id="9" name="Change Date" dataDxfId="3"/>
    <tableColumn id="10" name="Reviewed By" dataDxfId="2"/>
    <tableColumn id="11" name="Review Date" dataDxfId="1"/>
    <tableColumn id="12" name="Reviewer Comments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12"/>
  <sheetViews>
    <sheetView zoomScaleNormal="100" workbookViewId="0">
      <selection activeCell="C12" sqref="C12"/>
    </sheetView>
  </sheetViews>
  <sheetFormatPr defaultRowHeight="15" x14ac:dyDescent="0.25"/>
  <cols>
    <col min="1" max="1" width="12" style="3" customWidth="1"/>
    <col min="2" max="2" width="21.85546875" style="3" customWidth="1"/>
    <col min="3" max="3" width="13.5703125" style="3" customWidth="1"/>
    <col min="4" max="4" width="18.42578125" style="3" customWidth="1"/>
    <col min="5" max="5" width="12.85546875" style="3" customWidth="1"/>
    <col min="6" max="6" width="46.140625" style="3" customWidth="1"/>
    <col min="7" max="7" width="14" style="3" bestFit="1" customWidth="1"/>
    <col min="8" max="8" width="16.7109375" style="3" bestFit="1" customWidth="1"/>
    <col min="9" max="9" width="11.28515625" style="3" customWidth="1"/>
    <col min="10" max="10" width="70.85546875" style="3" customWidth="1"/>
    <col min="11" max="11" width="13.7109375" style="3" customWidth="1"/>
    <col min="12" max="12" width="11.28515625" style="3" customWidth="1"/>
    <col min="13" max="13" width="46.140625" style="3" customWidth="1"/>
    <col min="14" max="16384" width="9.140625" style="3"/>
  </cols>
  <sheetData>
    <row r="1" spans="1:10" ht="23.25" x14ac:dyDescent="0.35">
      <c r="A1" s="188" t="s">
        <v>0</v>
      </c>
      <c r="B1" s="189" t="s">
        <v>130</v>
      </c>
      <c r="C1" s="45"/>
      <c r="D1" s="45"/>
      <c r="E1" s="238" t="s">
        <v>38</v>
      </c>
      <c r="F1" s="238"/>
      <c r="G1" s="238"/>
      <c r="H1" s="45"/>
      <c r="I1" s="45"/>
      <c r="J1" s="46"/>
    </row>
    <row r="2" spans="1:10" ht="18.75" x14ac:dyDescent="0.3">
      <c r="A2" s="38" t="s">
        <v>5</v>
      </c>
      <c r="B2" s="4" t="s">
        <v>131</v>
      </c>
      <c r="C2" s="41"/>
      <c r="D2" s="41"/>
      <c r="E2" s="239"/>
      <c r="F2" s="239"/>
      <c r="G2" s="239"/>
      <c r="H2" s="41"/>
      <c r="I2" s="41"/>
      <c r="J2" s="47"/>
    </row>
    <row r="3" spans="1:10" x14ac:dyDescent="0.25">
      <c r="A3" s="39" t="s">
        <v>22</v>
      </c>
      <c r="B3" s="186">
        <v>1</v>
      </c>
      <c r="C3" s="41"/>
      <c r="D3" s="41"/>
      <c r="E3" s="41"/>
      <c r="F3" s="41"/>
      <c r="G3" s="41"/>
      <c r="H3" s="40" t="s">
        <v>21</v>
      </c>
      <c r="I3" s="65">
        <v>1.4</v>
      </c>
      <c r="J3" s="47"/>
    </row>
    <row r="4" spans="1:10" x14ac:dyDescent="0.25">
      <c r="A4" s="39"/>
      <c r="B4" s="7"/>
      <c r="C4" s="41"/>
      <c r="D4" s="41"/>
      <c r="E4" s="41"/>
      <c r="F4" s="41"/>
      <c r="G4" s="41"/>
      <c r="H4" s="40"/>
      <c r="I4" s="40"/>
      <c r="J4" s="47"/>
    </row>
    <row r="5" spans="1:10" x14ac:dyDescent="0.25">
      <c r="A5" s="39" t="s">
        <v>30</v>
      </c>
      <c r="B5" s="8"/>
      <c r="C5" s="5"/>
      <c r="D5" s="44" t="s">
        <v>26</v>
      </c>
      <c r="E5" s="44" t="s">
        <v>27</v>
      </c>
      <c r="F5" s="44" t="s">
        <v>28</v>
      </c>
      <c r="G5" s="44" t="s">
        <v>9</v>
      </c>
      <c r="H5" s="44" t="s">
        <v>29</v>
      </c>
      <c r="I5" s="7"/>
      <c r="J5" s="6"/>
    </row>
    <row r="6" spans="1:10" x14ac:dyDescent="0.25">
      <c r="A6" s="39" t="s">
        <v>31</v>
      </c>
      <c r="B6" s="187"/>
      <c r="C6" s="5"/>
      <c r="D6" s="9" t="s">
        <v>32</v>
      </c>
      <c r="E6" s="10"/>
      <c r="F6" s="11"/>
      <c r="G6" t="str">
        <f>IF('Review Checklist'!C43="Fail","Fail",IF('Review Checklist'!C45&lt;=0,"Pass","Incomplete"))</f>
        <v>Incomplete</v>
      </c>
      <c r="H6" s="129"/>
      <c r="I6" s="7"/>
      <c r="J6" s="6"/>
    </row>
    <row r="7" spans="1:10" x14ac:dyDescent="0.25">
      <c r="A7" s="39"/>
      <c r="B7" s="40"/>
      <c r="C7" s="41"/>
      <c r="D7" s="9" t="s">
        <v>33</v>
      </c>
      <c r="E7" s="10"/>
      <c r="F7" s="11"/>
      <c r="G7" t="str">
        <f>IF('Review Checklist'!D43="Fail","Fail",IF('Review Checklist'!D45&lt;=0,"Pass","Incomplete"))</f>
        <v>Incomplete</v>
      </c>
      <c r="H7" s="129"/>
      <c r="I7" s="7"/>
      <c r="J7" s="6"/>
    </row>
    <row r="8" spans="1:10" x14ac:dyDescent="0.25">
      <c r="A8" s="39"/>
      <c r="B8" s="40" t="s">
        <v>37</v>
      </c>
      <c r="C8" s="41"/>
      <c r="D8" s="9" t="s">
        <v>34</v>
      </c>
      <c r="E8" s="10"/>
      <c r="F8" s="11"/>
      <c r="G8" t="str">
        <f>IF('Review Checklist'!E43="Fail","Fail",IF('Review Checklist'!E45&lt;=0,"Pass","Incomplete"))</f>
        <v>Incomplete</v>
      </c>
      <c r="H8" s="129"/>
      <c r="I8" s="7"/>
      <c r="J8" s="6"/>
    </row>
    <row r="9" spans="1:10" x14ac:dyDescent="0.25">
      <c r="A9" s="39"/>
      <c r="B9" s="40"/>
      <c r="C9" s="41"/>
      <c r="D9" s="9" t="s">
        <v>35</v>
      </c>
      <c r="E9" s="10"/>
      <c r="F9" s="11"/>
      <c r="G9" t="str">
        <f>IF('Review Checklist'!F43="Fail","Fail",IF('Review Checklist'!F45&lt;=0,"Pass","Incomplete"))</f>
        <v>Incomplete</v>
      </c>
      <c r="H9" s="12"/>
      <c r="I9" s="7"/>
      <c r="J9" s="6"/>
    </row>
    <row r="10" spans="1:10" x14ac:dyDescent="0.25">
      <c r="A10" s="39"/>
      <c r="B10" s="40"/>
      <c r="C10" s="41"/>
      <c r="D10" s="9" t="s">
        <v>48</v>
      </c>
      <c r="E10" s="10"/>
      <c r="F10" s="11"/>
      <c r="G10" t="str">
        <f>IF('Review Checklist'!G43="Fail","Fail",IF('Review Checklist'!G45&lt;=0,"Pass","Incomplete"))</f>
        <v>Incomplete</v>
      </c>
      <c r="H10" s="12"/>
      <c r="I10" s="7"/>
      <c r="J10" s="6"/>
    </row>
    <row r="11" spans="1:10" x14ac:dyDescent="0.25">
      <c r="A11" s="39"/>
      <c r="B11" s="40"/>
      <c r="C11" s="41"/>
      <c r="D11" s="13" t="s">
        <v>49</v>
      </c>
      <c r="E11" s="14"/>
      <c r="F11" s="15"/>
      <c r="G11" t="str">
        <f>IF('Review Checklist'!H43="Fail","Fail",IF('Review Checklist'!H45&lt;=0,"Pass","Incomplete"))</f>
        <v>Incomplete</v>
      </c>
      <c r="H11" s="16"/>
      <c r="I11" s="7"/>
      <c r="J11" s="6"/>
    </row>
    <row r="12" spans="1:10" x14ac:dyDescent="0.25">
      <c r="A12" s="42"/>
      <c r="B12" s="43"/>
      <c r="C12" s="43"/>
      <c r="D12" s="17"/>
      <c r="E12" s="17"/>
      <c r="F12" s="18"/>
      <c r="G12" s="18"/>
      <c r="H12" s="18"/>
      <c r="I12" s="18"/>
      <c r="J12" s="19"/>
    </row>
    <row r="13" spans="1:10" x14ac:dyDescent="0.25">
      <c r="A13" s="20"/>
      <c r="B13" s="21"/>
      <c r="C13" s="21"/>
      <c r="D13" s="21"/>
      <c r="E13" s="21"/>
      <c r="F13" s="20"/>
      <c r="G13" s="20"/>
      <c r="H13" s="20"/>
      <c r="I13" s="20"/>
      <c r="J13" s="20"/>
    </row>
    <row r="14" spans="1:10" hidden="1" x14ac:dyDescent="0.25">
      <c r="A14" s="3" t="b">
        <v>1</v>
      </c>
      <c r="B14" s="20" t="b">
        <v>1</v>
      </c>
      <c r="C14" s="22" t="b">
        <v>1</v>
      </c>
      <c r="D14" s="22" t="b">
        <v>0</v>
      </c>
      <c r="E14" s="22" t="b">
        <v>0</v>
      </c>
      <c r="F14" s="20" t="b">
        <v>0</v>
      </c>
      <c r="G14" s="20" t="b">
        <v>1</v>
      </c>
      <c r="H14" s="20"/>
      <c r="I14" s="20"/>
      <c r="J14" s="20"/>
    </row>
    <row r="15" spans="1:10" ht="18.75" x14ac:dyDescent="0.3">
      <c r="A15" s="48" t="s">
        <v>7</v>
      </c>
      <c r="B15" s="50"/>
      <c r="C15" s="179"/>
      <c r="D15" s="179"/>
      <c r="E15" s="179"/>
      <c r="F15" s="179"/>
      <c r="G15" s="179"/>
      <c r="H15" s="179"/>
      <c r="I15" s="179"/>
      <c r="J15" s="179"/>
    </row>
    <row r="16" spans="1:10" s="23" customFormat="1" ht="30" x14ac:dyDescent="0.25">
      <c r="A16" s="109" t="s">
        <v>99</v>
      </c>
      <c r="B16" s="224" t="s">
        <v>9</v>
      </c>
      <c r="C16" s="223"/>
      <c r="D16" s="180"/>
      <c r="E16" s="180"/>
      <c r="F16" s="180"/>
      <c r="G16" s="180"/>
      <c r="H16" s="180"/>
      <c r="I16" s="180"/>
      <c r="J16" s="180"/>
    </row>
    <row r="17" spans="1:10" x14ac:dyDescent="0.25">
      <c r="A17" s="183">
        <f>'New Library Parts'!B106</f>
        <v>0</v>
      </c>
      <c r="B17" s="225" t="str">
        <f>IF('New Library Parts'!V107=FALSE,"Fail",IF('New Library Parts'!W107&lt;=0,"Pass","Incomplete"))</f>
        <v>Incomplete</v>
      </c>
      <c r="C17" s="176"/>
      <c r="D17" s="176"/>
      <c r="E17" s="176"/>
      <c r="F17" s="177"/>
      <c r="G17" s="177"/>
      <c r="H17" s="177"/>
      <c r="I17" s="181"/>
      <c r="J17" s="177"/>
    </row>
    <row r="18" spans="1:10" x14ac:dyDescent="0.25">
      <c r="A18" s="20"/>
      <c r="B18" s="182"/>
      <c r="C18" s="178"/>
      <c r="D18" s="178"/>
      <c r="E18" s="178"/>
      <c r="F18" s="177"/>
      <c r="G18" s="177"/>
      <c r="H18" s="20"/>
      <c r="I18" s="20"/>
      <c r="J18" s="20"/>
    </row>
    <row r="19" spans="1:10" ht="18.75" x14ac:dyDescent="0.3">
      <c r="A19" s="51" t="s">
        <v>103</v>
      </c>
      <c r="B19" s="52"/>
      <c r="C19" s="52"/>
      <c r="D19" s="52"/>
      <c r="E19" s="52"/>
      <c r="F19" s="52"/>
      <c r="G19" s="194"/>
      <c r="H19" s="195"/>
      <c r="I19" s="195"/>
      <c r="J19" s="195"/>
    </row>
    <row r="20" spans="1:10" s="23" customFormat="1" ht="30" x14ac:dyDescent="0.25">
      <c r="A20" s="110" t="s">
        <v>1</v>
      </c>
      <c r="B20" s="196" t="s">
        <v>104</v>
      </c>
      <c r="C20" s="196" t="s">
        <v>129</v>
      </c>
      <c r="D20" s="196" t="s">
        <v>13</v>
      </c>
      <c r="E20" s="53" t="s">
        <v>105</v>
      </c>
      <c r="F20" s="53" t="s">
        <v>96</v>
      </c>
      <c r="G20" s="197"/>
      <c r="H20" s="198"/>
      <c r="I20" s="198"/>
      <c r="J20" s="198"/>
    </row>
    <row r="21" spans="1:10" x14ac:dyDescent="0.25">
      <c r="A21" s="24">
        <v>1</v>
      </c>
      <c r="B21" s="35" t="s">
        <v>106</v>
      </c>
      <c r="C21" s="25" t="s">
        <v>87</v>
      </c>
      <c r="D21" s="25"/>
      <c r="E21" s="25"/>
      <c r="F21" s="26"/>
      <c r="G21" s="199"/>
      <c r="H21" s="200"/>
      <c r="I21" s="201"/>
      <c r="J21" s="200"/>
    </row>
    <row r="22" spans="1:10" x14ac:dyDescent="0.25">
      <c r="A22" s="28">
        <v>2</v>
      </c>
      <c r="B22" s="128"/>
      <c r="C22" s="29"/>
      <c r="D22" s="29"/>
      <c r="E22" s="29"/>
      <c r="F22" s="11"/>
      <c r="G22" s="199"/>
      <c r="H22" s="200"/>
      <c r="I22" s="201"/>
      <c r="J22" s="200"/>
    </row>
    <row r="23" spans="1:10" x14ac:dyDescent="0.25">
      <c r="A23" s="28">
        <v>3</v>
      </c>
      <c r="B23" s="128"/>
      <c r="C23" s="29"/>
      <c r="D23" s="29"/>
      <c r="E23" s="29"/>
      <c r="F23" s="11"/>
      <c r="G23" s="199"/>
      <c r="H23" s="200"/>
      <c r="I23" s="201"/>
      <c r="J23" s="200"/>
    </row>
    <row r="24" spans="1:10" x14ac:dyDescent="0.25">
      <c r="A24" s="28">
        <v>4</v>
      </c>
      <c r="B24" s="128"/>
      <c r="C24" s="29"/>
      <c r="D24" s="29"/>
      <c r="E24" s="29"/>
      <c r="F24" s="11"/>
      <c r="G24" s="199"/>
      <c r="H24" s="200"/>
      <c r="I24" s="200"/>
      <c r="J24" s="200"/>
    </row>
    <row r="25" spans="1:10" x14ac:dyDescent="0.25">
      <c r="A25" s="28">
        <v>5</v>
      </c>
      <c r="B25" s="128"/>
      <c r="C25" s="29"/>
      <c r="D25" s="29"/>
      <c r="E25" s="29"/>
      <c r="F25" s="11"/>
      <c r="G25" s="199"/>
      <c r="H25" s="200"/>
      <c r="I25" s="200"/>
      <c r="J25" s="200"/>
    </row>
    <row r="26" spans="1:10" x14ac:dyDescent="0.25">
      <c r="A26" s="28">
        <v>6</v>
      </c>
      <c r="B26" s="128"/>
      <c r="C26" s="29"/>
      <c r="D26" s="29"/>
      <c r="E26" s="29"/>
      <c r="F26" s="11"/>
      <c r="G26" s="199"/>
      <c r="H26" s="200"/>
      <c r="I26" s="200"/>
      <c r="J26" s="200"/>
    </row>
    <row r="27" spans="1:10" x14ac:dyDescent="0.25">
      <c r="A27" s="28">
        <v>7</v>
      </c>
      <c r="B27" s="128"/>
      <c r="C27" s="29"/>
      <c r="D27" s="29"/>
      <c r="E27" s="29"/>
      <c r="F27" s="11"/>
      <c r="G27" s="199"/>
      <c r="H27" s="200"/>
      <c r="I27" s="200"/>
      <c r="J27" s="200"/>
    </row>
    <row r="28" spans="1:10" x14ac:dyDescent="0.25">
      <c r="A28" s="28">
        <v>8</v>
      </c>
      <c r="B28" s="128"/>
      <c r="C28" s="29"/>
      <c r="D28" s="29"/>
      <c r="E28" s="29"/>
      <c r="F28" s="11"/>
      <c r="G28" s="199"/>
      <c r="H28" s="200"/>
      <c r="I28" s="200"/>
      <c r="J28" s="200"/>
    </row>
    <row r="29" spans="1:10" x14ac:dyDescent="0.25">
      <c r="A29" s="28">
        <v>9</v>
      </c>
      <c r="B29" s="128"/>
      <c r="C29" s="29"/>
      <c r="D29" s="29"/>
      <c r="E29" s="29"/>
      <c r="F29" s="11"/>
      <c r="G29" s="199"/>
      <c r="H29" s="200"/>
      <c r="I29" s="200"/>
      <c r="J29" s="200"/>
    </row>
    <row r="30" spans="1:10" x14ac:dyDescent="0.25">
      <c r="A30" s="28">
        <v>10</v>
      </c>
      <c r="B30" s="128"/>
      <c r="C30" s="29"/>
      <c r="D30" s="29"/>
      <c r="E30" s="29"/>
      <c r="F30" s="11"/>
      <c r="G30" s="199"/>
      <c r="H30" s="200"/>
      <c r="I30" s="200"/>
      <c r="J30" s="200"/>
    </row>
    <row r="31" spans="1:10" x14ac:dyDescent="0.25">
      <c r="A31" s="61"/>
      <c r="B31" s="62"/>
      <c r="C31" s="62"/>
      <c r="D31" s="62"/>
      <c r="E31" s="62"/>
      <c r="F31" s="63"/>
      <c r="G31" s="177"/>
      <c r="H31" s="20"/>
      <c r="I31" s="20"/>
      <c r="J31" s="20"/>
    </row>
    <row r="32" spans="1:10" ht="18.75" x14ac:dyDescent="0.3">
      <c r="A32" s="54" t="s">
        <v>25</v>
      </c>
      <c r="B32" s="55"/>
      <c r="C32" s="55"/>
      <c r="D32" s="55"/>
      <c r="E32" s="55"/>
      <c r="F32" s="56"/>
      <c r="G32" s="179"/>
      <c r="H32" s="179"/>
      <c r="I32" s="179"/>
      <c r="J32" s="179"/>
    </row>
    <row r="33" spans="1:10" x14ac:dyDescent="0.25">
      <c r="A33" s="219"/>
      <c r="B33" s="216" t="s">
        <v>124</v>
      </c>
      <c r="C33" s="218"/>
      <c r="D33" s="216" t="s">
        <v>123</v>
      </c>
      <c r="E33" s="221"/>
      <c r="F33" s="220"/>
      <c r="G33" s="223"/>
      <c r="H33" s="223"/>
      <c r="I33" s="223"/>
      <c r="J33" s="223"/>
    </row>
    <row r="34" spans="1:10" ht="30" x14ac:dyDescent="0.25">
      <c r="A34" s="219"/>
      <c r="B34" s="216" t="s">
        <v>122</v>
      </c>
      <c r="C34" s="217"/>
      <c r="D34" s="216" t="s">
        <v>127</v>
      </c>
      <c r="E34" s="217"/>
      <c r="F34" s="220"/>
      <c r="G34" s="223"/>
      <c r="H34" s="223"/>
      <c r="I34" s="223"/>
      <c r="J34" s="223"/>
    </row>
    <row r="35" spans="1:10" x14ac:dyDescent="0.25">
      <c r="A35" s="219"/>
      <c r="B35" s="216"/>
      <c r="C35" s="216"/>
      <c r="D35" s="216"/>
      <c r="E35" s="216"/>
      <c r="F35" s="220"/>
      <c r="G35" s="223"/>
      <c r="H35" s="223"/>
      <c r="I35" s="223"/>
      <c r="J35" s="223"/>
    </row>
    <row r="36" spans="1:10" ht="15.75" x14ac:dyDescent="0.25">
      <c r="A36" s="240" t="s">
        <v>126</v>
      </c>
      <c r="B36" s="241"/>
      <c r="C36" s="216"/>
      <c r="D36" s="216" t="str">
        <f>IF(ISBLANK(D27),"",D27)</f>
        <v/>
      </c>
      <c r="E36" s="216" t="str">
        <f>IF(ISBLANK(E27),"",E27)</f>
        <v/>
      </c>
      <c r="F36" s="220"/>
      <c r="G36" s="223"/>
      <c r="H36" s="223"/>
      <c r="I36" s="223"/>
      <c r="J36" s="223"/>
    </row>
    <row r="37" spans="1:10" x14ac:dyDescent="0.25">
      <c r="A37" s="111" t="s">
        <v>1</v>
      </c>
      <c r="B37" s="222" t="s">
        <v>13</v>
      </c>
      <c r="C37" s="222" t="s">
        <v>125</v>
      </c>
      <c r="D37" s="222" t="s">
        <v>128</v>
      </c>
      <c r="E37" s="222" t="s">
        <v>11</v>
      </c>
      <c r="F37" s="57" t="s">
        <v>81</v>
      </c>
      <c r="G37" s="180"/>
      <c r="H37" s="180"/>
      <c r="I37" s="180"/>
      <c r="J37" s="180"/>
    </row>
    <row r="38" spans="1:10" x14ac:dyDescent="0.25">
      <c r="A38" s="28">
        <v>1</v>
      </c>
      <c r="B38" s="184" t="str">
        <f>IF(ISBLANK(B29),"",B29)</f>
        <v/>
      </c>
      <c r="C38" s="29"/>
      <c r="D38" s="184" t="str">
        <f>IF(ISBLANK(D29),"",D29)</f>
        <v/>
      </c>
      <c r="E38" s="184" t="str">
        <f>IF(ISBLANK(E29),"",E29)</f>
        <v/>
      </c>
      <c r="F38" s="30"/>
      <c r="G38" s="177"/>
      <c r="H38" s="177"/>
      <c r="I38" s="177"/>
      <c r="J38" s="177"/>
    </row>
    <row r="39" spans="1:10" x14ac:dyDescent="0.25">
      <c r="A39" s="28">
        <v>2</v>
      </c>
      <c r="B39" s="184"/>
      <c r="C39" s="29"/>
      <c r="D39" s="184"/>
      <c r="E39" s="184"/>
      <c r="F39" s="30"/>
      <c r="G39" s="177"/>
      <c r="H39" s="177"/>
      <c r="I39" s="177"/>
      <c r="J39" s="177"/>
    </row>
    <row r="40" spans="1:10" x14ac:dyDescent="0.25">
      <c r="A40" s="28">
        <v>3</v>
      </c>
      <c r="B40" s="184"/>
      <c r="C40" s="29"/>
      <c r="D40" s="184"/>
      <c r="E40" s="184"/>
      <c r="F40" s="30"/>
      <c r="G40" s="177"/>
      <c r="H40" s="177"/>
      <c r="I40" s="177"/>
      <c r="J40" s="177"/>
    </row>
    <row r="41" spans="1:10" x14ac:dyDescent="0.25">
      <c r="A41" s="28">
        <v>4</v>
      </c>
      <c r="B41" s="184"/>
      <c r="C41" s="29"/>
      <c r="D41" s="184"/>
      <c r="E41" s="184"/>
      <c r="F41" s="30"/>
      <c r="G41" s="177"/>
      <c r="H41" s="177"/>
      <c r="I41" s="177"/>
      <c r="J41" s="177"/>
    </row>
    <row r="42" spans="1:10" x14ac:dyDescent="0.25">
      <c r="A42" s="31">
        <v>5</v>
      </c>
      <c r="B42" s="185" t="str">
        <f>IF(ISBLANK(B30),"",B30)</f>
        <v/>
      </c>
      <c r="C42" s="33"/>
      <c r="D42" s="185" t="str">
        <f>IF(ISBLANK(D30),"",D30)</f>
        <v/>
      </c>
      <c r="E42" s="185" t="str">
        <f>IF(ISBLANK(E30),"",E30)</f>
        <v/>
      </c>
      <c r="F42" s="213"/>
      <c r="G42" s="177"/>
      <c r="H42" s="177"/>
      <c r="I42" s="177"/>
      <c r="J42" s="177"/>
    </row>
    <row r="43" spans="1:10" x14ac:dyDescent="0.25">
      <c r="A43" s="61"/>
      <c r="B43" s="178"/>
      <c r="C43" s="62"/>
      <c r="D43" s="62"/>
      <c r="E43" s="62"/>
      <c r="F43" s="63"/>
      <c r="G43" s="177"/>
      <c r="H43" s="20"/>
      <c r="I43" s="20"/>
      <c r="J43" s="20"/>
    </row>
    <row r="44" spans="1:10" ht="18.75" hidden="1" x14ac:dyDescent="0.3">
      <c r="A44" s="58" t="s">
        <v>15</v>
      </c>
      <c r="B44" s="59"/>
      <c r="C44" s="59"/>
      <c r="D44" s="59"/>
      <c r="E44" s="59"/>
      <c r="F44" s="59"/>
      <c r="G44" s="202"/>
      <c r="H44" s="179"/>
      <c r="I44" s="179"/>
      <c r="J44" s="179"/>
    </row>
    <row r="45" spans="1:10" hidden="1" x14ac:dyDescent="0.25">
      <c r="A45" s="203" t="s">
        <v>1</v>
      </c>
      <c r="B45" s="204" t="s">
        <v>107</v>
      </c>
      <c r="C45" s="204" t="s">
        <v>12</v>
      </c>
      <c r="D45" s="205" t="s">
        <v>4</v>
      </c>
      <c r="E45" s="205" t="s">
        <v>3</v>
      </c>
      <c r="F45" s="205" t="s">
        <v>8</v>
      </c>
      <c r="G45" s="206"/>
      <c r="H45" s="180"/>
      <c r="I45" s="180"/>
      <c r="J45" s="180"/>
    </row>
    <row r="46" spans="1:10" hidden="1" x14ac:dyDescent="0.25">
      <c r="A46" s="24">
        <v>1</v>
      </c>
      <c r="B46" s="25" t="s">
        <v>108</v>
      </c>
      <c r="C46" s="25" t="s">
        <v>16</v>
      </c>
      <c r="D46" s="207"/>
      <c r="E46" s="208"/>
      <c r="F46" s="27"/>
      <c r="G46" s="177"/>
      <c r="H46" s="209"/>
      <c r="I46" s="210"/>
      <c r="J46" s="177"/>
    </row>
    <row r="47" spans="1:10" hidden="1" x14ac:dyDescent="0.25">
      <c r="A47" s="28">
        <v>2</v>
      </c>
      <c r="B47" s="29" t="s">
        <v>109</v>
      </c>
      <c r="C47" s="29" t="s">
        <v>16</v>
      </c>
      <c r="D47" s="211"/>
      <c r="E47" s="212"/>
      <c r="F47" s="30"/>
      <c r="G47" s="177"/>
      <c r="H47" s="209"/>
      <c r="I47" s="210"/>
      <c r="J47" s="177"/>
    </row>
    <row r="48" spans="1:10" hidden="1" x14ac:dyDescent="0.25">
      <c r="A48" s="28">
        <v>3</v>
      </c>
      <c r="B48" s="29" t="s">
        <v>110</v>
      </c>
      <c r="C48" s="29" t="s">
        <v>16</v>
      </c>
      <c r="D48" s="211"/>
      <c r="E48" s="212"/>
      <c r="F48" s="30"/>
      <c r="G48" s="177"/>
      <c r="H48" s="209"/>
      <c r="I48" s="210"/>
      <c r="J48" s="177"/>
    </row>
    <row r="49" spans="1:13" hidden="1" x14ac:dyDescent="0.25">
      <c r="A49" s="28">
        <v>4</v>
      </c>
      <c r="B49" s="29" t="s">
        <v>111</v>
      </c>
      <c r="C49" s="29" t="s">
        <v>16</v>
      </c>
      <c r="D49" s="211"/>
      <c r="E49" s="212"/>
      <c r="F49" s="30"/>
      <c r="G49" s="177"/>
      <c r="H49" s="209"/>
      <c r="I49" s="210"/>
      <c r="J49" s="177"/>
    </row>
    <row r="50" spans="1:13" hidden="1" x14ac:dyDescent="0.25">
      <c r="A50" s="28">
        <v>5</v>
      </c>
      <c r="B50" s="29" t="s">
        <v>112</v>
      </c>
      <c r="C50" s="29" t="s">
        <v>16</v>
      </c>
      <c r="D50" s="211"/>
      <c r="E50" s="212"/>
      <c r="F50" s="30"/>
      <c r="G50" s="177"/>
      <c r="H50" s="209"/>
      <c r="I50" s="210"/>
      <c r="J50" s="177"/>
    </row>
    <row r="51" spans="1:13" hidden="1" x14ac:dyDescent="0.25">
      <c r="A51" s="28">
        <v>6</v>
      </c>
      <c r="B51" s="29" t="s">
        <v>113</v>
      </c>
      <c r="C51" s="29" t="s">
        <v>16</v>
      </c>
      <c r="D51" s="211"/>
      <c r="E51" s="212"/>
      <c r="F51" s="30"/>
      <c r="G51" s="177"/>
      <c r="H51" s="209"/>
      <c r="I51" s="210"/>
      <c r="J51" s="177"/>
    </row>
    <row r="52" spans="1:13" hidden="1" x14ac:dyDescent="0.25">
      <c r="A52" s="28">
        <v>7</v>
      </c>
      <c r="B52" s="29" t="s">
        <v>114</v>
      </c>
      <c r="C52" s="29" t="s">
        <v>115</v>
      </c>
      <c r="D52" s="211"/>
      <c r="E52" s="212"/>
      <c r="F52" s="30"/>
      <c r="G52" s="177"/>
      <c r="H52" s="209"/>
      <c r="I52" s="210"/>
      <c r="J52" s="177"/>
    </row>
    <row r="53" spans="1:13" hidden="1" x14ac:dyDescent="0.25">
      <c r="A53" s="28">
        <v>8</v>
      </c>
      <c r="B53" s="29" t="s">
        <v>116</v>
      </c>
      <c r="C53" s="29" t="s">
        <v>16</v>
      </c>
      <c r="D53" s="211"/>
      <c r="E53" s="212"/>
      <c r="F53" s="30"/>
      <c r="G53" s="177"/>
      <c r="H53" s="209"/>
      <c r="I53" s="210"/>
      <c r="J53" s="177"/>
    </row>
    <row r="54" spans="1:13" hidden="1" x14ac:dyDescent="0.25">
      <c r="A54" s="28">
        <v>9</v>
      </c>
      <c r="B54" s="29" t="s">
        <v>117</v>
      </c>
      <c r="C54" s="29" t="s">
        <v>118</v>
      </c>
      <c r="D54" s="211"/>
      <c r="E54" s="212"/>
      <c r="F54" s="30"/>
      <c r="G54" s="177"/>
      <c r="H54" s="209"/>
      <c r="I54" s="210"/>
      <c r="J54" s="177"/>
    </row>
    <row r="55" spans="1:13" hidden="1" x14ac:dyDescent="0.25">
      <c r="A55" s="28">
        <v>10</v>
      </c>
      <c r="B55" s="29" t="s">
        <v>119</v>
      </c>
      <c r="C55" s="29" t="s">
        <v>19</v>
      </c>
      <c r="D55" s="211"/>
      <c r="E55" s="212"/>
      <c r="F55" s="30"/>
      <c r="G55" s="177"/>
      <c r="H55" s="209"/>
      <c r="I55" s="210"/>
      <c r="J55" s="177"/>
    </row>
    <row r="56" spans="1:13" hidden="1" x14ac:dyDescent="0.25">
      <c r="A56" s="28">
        <v>11</v>
      </c>
      <c r="B56" s="2" t="s">
        <v>120</v>
      </c>
      <c r="C56" s="2" t="s">
        <v>19</v>
      </c>
      <c r="D56" s="211"/>
      <c r="E56" s="212"/>
      <c r="F56" s="30"/>
      <c r="G56" s="177"/>
      <c r="H56" s="209"/>
      <c r="I56" s="210"/>
      <c r="J56" s="20"/>
    </row>
    <row r="57" spans="1:13" hidden="1" x14ac:dyDescent="0.25">
      <c r="A57" s="28">
        <v>12</v>
      </c>
      <c r="B57" s="2" t="s">
        <v>20</v>
      </c>
      <c r="C57" s="2" t="s">
        <v>18</v>
      </c>
      <c r="D57" s="211"/>
      <c r="E57" s="212"/>
      <c r="F57" s="30"/>
      <c r="G57" s="177"/>
      <c r="H57" s="209"/>
      <c r="I57" s="210"/>
      <c r="J57" s="20"/>
    </row>
    <row r="58" spans="1:13" hidden="1" x14ac:dyDescent="0.25">
      <c r="A58" s="28">
        <v>13</v>
      </c>
      <c r="B58" s="2" t="s">
        <v>121</v>
      </c>
      <c r="C58" s="2" t="s">
        <v>18</v>
      </c>
      <c r="D58" s="211"/>
      <c r="E58" s="212"/>
      <c r="F58" s="30"/>
      <c r="G58" s="177"/>
      <c r="H58" s="209"/>
      <c r="I58" s="210"/>
      <c r="J58" s="20"/>
    </row>
    <row r="59" spans="1:13" hidden="1" x14ac:dyDescent="0.25">
      <c r="A59" s="31">
        <v>14</v>
      </c>
      <c r="B59" s="33" t="s">
        <v>17</v>
      </c>
      <c r="C59" s="33" t="s">
        <v>18</v>
      </c>
      <c r="D59" s="136"/>
      <c r="E59" s="137"/>
      <c r="F59" s="213"/>
      <c r="G59" s="177"/>
      <c r="H59" s="209"/>
      <c r="I59" s="210"/>
      <c r="J59" s="20"/>
    </row>
    <row r="60" spans="1:13" hidden="1" x14ac:dyDescent="0.25">
      <c r="C60" s="34"/>
      <c r="D60" s="34"/>
      <c r="E60" s="34"/>
      <c r="F60" s="23"/>
      <c r="G60" s="23"/>
    </row>
    <row r="61" spans="1:13" ht="18.75" x14ac:dyDescent="0.3">
      <c r="A61" s="112" t="s">
        <v>80</v>
      </c>
      <c r="B61" s="113"/>
      <c r="C61" s="113"/>
      <c r="D61" s="113"/>
      <c r="E61" s="113"/>
      <c r="F61" s="229" t="s">
        <v>132</v>
      </c>
      <c r="G61" s="113"/>
      <c r="H61" s="113"/>
      <c r="I61" s="113"/>
      <c r="J61" s="113"/>
      <c r="K61" s="113"/>
      <c r="L61" s="113"/>
      <c r="M61" s="116"/>
    </row>
    <row r="62" spans="1:13" ht="30" x14ac:dyDescent="0.25">
      <c r="A62" s="114" t="s">
        <v>1</v>
      </c>
      <c r="B62" s="115" t="s">
        <v>14</v>
      </c>
      <c r="C62" s="121" t="s">
        <v>40</v>
      </c>
      <c r="D62" s="121" t="s">
        <v>41</v>
      </c>
      <c r="E62" s="121" t="s">
        <v>11</v>
      </c>
      <c r="F62" s="115" t="s">
        <v>81</v>
      </c>
      <c r="G62" s="115" t="s">
        <v>100</v>
      </c>
      <c r="H62" s="115" t="s">
        <v>101</v>
      </c>
      <c r="I62" s="121" t="s">
        <v>82</v>
      </c>
      <c r="J62" s="115" t="s">
        <v>88</v>
      </c>
      <c r="K62" s="121" t="s">
        <v>102</v>
      </c>
      <c r="L62" s="121" t="s">
        <v>4</v>
      </c>
      <c r="M62" s="117" t="s">
        <v>8</v>
      </c>
    </row>
    <row r="63" spans="1:13" x14ac:dyDescent="0.25">
      <c r="A63" s="118">
        <v>1</v>
      </c>
      <c r="B63" s="118"/>
      <c r="C63" s="118"/>
      <c r="D63" s="118"/>
      <c r="E63" s="118"/>
      <c r="F63" s="119"/>
      <c r="G63" s="132"/>
      <c r="H63" s="134"/>
      <c r="I63" s="135"/>
      <c r="J63" s="120"/>
      <c r="K63" s="120"/>
      <c r="L63" s="118"/>
      <c r="M63" s="36"/>
    </row>
    <row r="64" spans="1:13" x14ac:dyDescent="0.25">
      <c r="A64" s="118">
        <v>2</v>
      </c>
      <c r="B64" s="118"/>
      <c r="C64" s="118"/>
      <c r="D64" s="118"/>
      <c r="E64" s="118"/>
      <c r="F64" s="119"/>
      <c r="G64" s="132"/>
      <c r="H64" s="134"/>
      <c r="I64" s="135"/>
      <c r="J64" s="120"/>
      <c r="K64" s="120"/>
      <c r="L64" s="118"/>
      <c r="M64" s="36"/>
    </row>
    <row r="65" spans="1:13" x14ac:dyDescent="0.25">
      <c r="A65" s="118">
        <v>3</v>
      </c>
      <c r="B65" s="118"/>
      <c r="C65" s="118"/>
      <c r="D65" s="118"/>
      <c r="E65" s="118"/>
      <c r="F65" s="119"/>
      <c r="G65" s="132"/>
      <c r="H65" s="134"/>
      <c r="I65" s="135"/>
      <c r="J65" s="120"/>
      <c r="K65" s="120"/>
      <c r="L65" s="118"/>
      <c r="M65" s="36"/>
    </row>
    <row r="66" spans="1:13" x14ac:dyDescent="0.25">
      <c r="A66" s="118">
        <v>4</v>
      </c>
      <c r="B66" s="118"/>
      <c r="C66" s="118"/>
      <c r="D66" s="118"/>
      <c r="E66" s="118"/>
      <c r="F66" s="119"/>
      <c r="G66" s="132"/>
      <c r="H66" s="134"/>
      <c r="I66" s="135"/>
      <c r="J66" s="120"/>
      <c r="K66" s="120"/>
      <c r="L66" s="118"/>
      <c r="M66" s="36"/>
    </row>
    <row r="67" spans="1:13" x14ac:dyDescent="0.25">
      <c r="A67" s="118">
        <v>5</v>
      </c>
      <c r="B67" s="118"/>
      <c r="C67" s="118"/>
      <c r="D67" s="118"/>
      <c r="E67" s="118"/>
      <c r="F67" s="119"/>
      <c r="G67" s="132"/>
      <c r="H67" s="134"/>
      <c r="I67" s="135"/>
      <c r="J67" s="120"/>
      <c r="K67" s="120"/>
      <c r="L67" s="118"/>
      <c r="M67" s="36"/>
    </row>
    <row r="68" spans="1:13" x14ac:dyDescent="0.25">
      <c r="A68" s="118">
        <v>6</v>
      </c>
      <c r="B68" s="118"/>
      <c r="C68" s="118"/>
      <c r="D68" s="118"/>
      <c r="E68" s="118"/>
      <c r="F68" s="119"/>
      <c r="G68" s="132"/>
      <c r="H68" s="120"/>
      <c r="I68" s="135"/>
      <c r="J68" s="120"/>
      <c r="K68" s="120"/>
      <c r="L68" s="118"/>
      <c r="M68" s="36"/>
    </row>
    <row r="69" spans="1:13" x14ac:dyDescent="0.25">
      <c r="A69" s="118">
        <v>7</v>
      </c>
      <c r="B69" s="118"/>
      <c r="C69" s="118"/>
      <c r="D69" s="118"/>
      <c r="E69" s="118"/>
      <c r="F69" s="119"/>
      <c r="G69" s="132"/>
      <c r="H69" s="120"/>
      <c r="I69" s="135"/>
      <c r="J69" s="120"/>
      <c r="K69" s="120"/>
      <c r="L69" s="118"/>
      <c r="M69" s="36"/>
    </row>
    <row r="70" spans="1:13" x14ac:dyDescent="0.25">
      <c r="A70" s="118">
        <v>8</v>
      </c>
      <c r="B70" s="118"/>
      <c r="C70" s="118"/>
      <c r="D70" s="118"/>
      <c r="E70" s="118"/>
      <c r="F70" s="119"/>
      <c r="G70" s="132"/>
      <c r="H70" s="120"/>
      <c r="I70" s="135"/>
      <c r="J70" s="120"/>
      <c r="K70" s="120"/>
      <c r="L70" s="118"/>
      <c r="M70" s="36"/>
    </row>
    <row r="71" spans="1:13" x14ac:dyDescent="0.25">
      <c r="A71" s="118">
        <v>9</v>
      </c>
      <c r="B71" s="118"/>
      <c r="C71" s="118"/>
      <c r="D71" s="118"/>
      <c r="E71" s="118"/>
      <c r="F71" s="119"/>
      <c r="G71" s="132"/>
      <c r="H71" s="120"/>
      <c r="I71" s="135"/>
      <c r="J71" s="120"/>
      <c r="K71" s="120"/>
      <c r="L71" s="118"/>
      <c r="M71" s="36"/>
    </row>
    <row r="72" spans="1:13" x14ac:dyDescent="0.25">
      <c r="A72" s="118">
        <v>10</v>
      </c>
      <c r="B72" s="118"/>
      <c r="C72" s="118"/>
      <c r="D72" s="118"/>
      <c r="E72" s="118"/>
      <c r="F72" s="119"/>
      <c r="G72" s="132"/>
      <c r="H72" s="120"/>
      <c r="I72" s="135"/>
      <c r="J72" s="120"/>
      <c r="K72" s="120"/>
      <c r="L72" s="118"/>
      <c r="M72" s="36"/>
    </row>
    <row r="73" spans="1:13" x14ac:dyDescent="0.25">
      <c r="A73" s="118">
        <v>11</v>
      </c>
      <c r="B73" s="118"/>
      <c r="C73" s="118"/>
      <c r="D73" s="118"/>
      <c r="E73" s="118"/>
      <c r="F73" s="119"/>
      <c r="G73" s="132"/>
      <c r="H73" s="120"/>
      <c r="I73" s="135"/>
      <c r="J73" s="120"/>
      <c r="K73" s="120"/>
      <c r="L73" s="118"/>
      <c r="M73" s="36"/>
    </row>
    <row r="74" spans="1:13" x14ac:dyDescent="0.25">
      <c r="A74" s="118">
        <v>12</v>
      </c>
      <c r="B74" s="118"/>
      <c r="C74" s="118"/>
      <c r="D74" s="118"/>
      <c r="E74" s="118"/>
      <c r="F74" s="119"/>
      <c r="G74" s="132"/>
      <c r="H74" s="120"/>
      <c r="I74" s="135"/>
      <c r="J74" s="120"/>
      <c r="K74" s="120"/>
      <c r="L74" s="118"/>
      <c r="M74" s="36"/>
    </row>
    <row r="75" spans="1:13" x14ac:dyDescent="0.25">
      <c r="A75" s="118">
        <v>13</v>
      </c>
      <c r="B75" s="118"/>
      <c r="C75" s="118"/>
      <c r="D75" s="118"/>
      <c r="E75" s="118"/>
      <c r="F75" s="119"/>
      <c r="G75" s="132"/>
      <c r="H75" s="120"/>
      <c r="I75" s="135"/>
      <c r="J75" s="120"/>
      <c r="K75" s="120"/>
      <c r="L75" s="118"/>
      <c r="M75" s="36"/>
    </row>
    <row r="76" spans="1:13" x14ac:dyDescent="0.25">
      <c r="A76" s="118">
        <v>14</v>
      </c>
      <c r="B76" s="118"/>
      <c r="C76" s="118"/>
      <c r="D76" s="118"/>
      <c r="E76" s="118"/>
      <c r="F76" s="119"/>
      <c r="G76" s="132"/>
      <c r="H76" s="120"/>
      <c r="I76" s="135"/>
      <c r="J76" s="120"/>
      <c r="K76" s="120"/>
      <c r="L76" s="118"/>
      <c r="M76" s="36"/>
    </row>
    <row r="77" spans="1:13" x14ac:dyDescent="0.25">
      <c r="A77" s="118">
        <v>15</v>
      </c>
      <c r="B77" s="118"/>
      <c r="C77" s="118"/>
      <c r="D77" s="118"/>
      <c r="E77" s="118"/>
      <c r="F77" s="119"/>
      <c r="G77" s="132"/>
      <c r="H77" s="120"/>
      <c r="I77" s="135"/>
      <c r="J77" s="120"/>
      <c r="K77" s="120"/>
      <c r="L77" s="118"/>
      <c r="M77" s="36"/>
    </row>
    <row r="78" spans="1:13" x14ac:dyDescent="0.25">
      <c r="A78" s="118">
        <v>16</v>
      </c>
      <c r="B78" s="118"/>
      <c r="C78" s="118"/>
      <c r="D78" s="118"/>
      <c r="E78" s="118"/>
      <c r="F78" s="119"/>
      <c r="G78" s="132"/>
      <c r="H78" s="120"/>
      <c r="I78" s="135"/>
      <c r="J78" s="120"/>
      <c r="K78" s="120"/>
      <c r="L78" s="118"/>
      <c r="M78" s="36"/>
    </row>
    <row r="79" spans="1:13" x14ac:dyDescent="0.25">
      <c r="A79" s="118">
        <v>17</v>
      </c>
      <c r="B79" s="118"/>
      <c r="C79" s="118"/>
      <c r="D79" s="118"/>
      <c r="E79" s="118"/>
      <c r="F79" s="119"/>
      <c r="G79" s="132"/>
      <c r="H79" s="120"/>
      <c r="I79" s="135"/>
      <c r="J79" s="120"/>
      <c r="K79" s="120"/>
      <c r="L79" s="118"/>
      <c r="M79" s="36"/>
    </row>
    <row r="80" spans="1:13" x14ac:dyDescent="0.25">
      <c r="A80" s="118">
        <v>18</v>
      </c>
      <c r="B80" s="118"/>
      <c r="C80" s="118"/>
      <c r="D80" s="118"/>
      <c r="E80" s="118"/>
      <c r="F80" s="119"/>
      <c r="G80" s="132"/>
      <c r="H80" s="120"/>
      <c r="I80" s="135"/>
      <c r="J80" s="119"/>
      <c r="K80" s="120"/>
      <c r="L80" s="118"/>
      <c r="M80" s="36"/>
    </row>
    <row r="81" spans="1:13" x14ac:dyDescent="0.25">
      <c r="A81" s="118">
        <v>19</v>
      </c>
      <c r="B81" s="118"/>
      <c r="C81" s="118"/>
      <c r="D81" s="118"/>
      <c r="E81" s="118"/>
      <c r="F81" s="119"/>
      <c r="G81" s="132"/>
      <c r="H81" s="120"/>
      <c r="I81" s="135"/>
      <c r="J81" s="120"/>
      <c r="K81" s="120"/>
      <c r="L81" s="118"/>
      <c r="M81" s="36"/>
    </row>
    <row r="82" spans="1:13" x14ac:dyDescent="0.25">
      <c r="A82" s="118">
        <v>20</v>
      </c>
      <c r="B82" s="118"/>
      <c r="C82" s="118"/>
      <c r="D82" s="118"/>
      <c r="E82" s="118"/>
      <c r="F82" s="119"/>
      <c r="G82" s="132"/>
      <c r="H82" s="120"/>
      <c r="I82" s="135"/>
      <c r="J82" s="120"/>
      <c r="K82" s="120"/>
      <c r="L82" s="118"/>
      <c r="M82" s="36"/>
    </row>
    <row r="83" spans="1:13" x14ac:dyDescent="0.25">
      <c r="A83" s="118">
        <v>21</v>
      </c>
      <c r="B83" s="118"/>
      <c r="C83" s="118"/>
      <c r="D83" s="118"/>
      <c r="E83" s="118"/>
      <c r="F83" s="119"/>
      <c r="G83" s="132"/>
      <c r="H83" s="120"/>
      <c r="I83" s="135"/>
      <c r="J83" s="120"/>
      <c r="K83" s="120"/>
      <c r="L83" s="118"/>
      <c r="M83" s="36"/>
    </row>
    <row r="84" spans="1:13" x14ac:dyDescent="0.25">
      <c r="A84" s="118">
        <v>22</v>
      </c>
      <c r="B84" s="118"/>
      <c r="C84" s="118"/>
      <c r="D84" s="118"/>
      <c r="E84" s="118"/>
      <c r="F84" s="119"/>
      <c r="G84" s="132"/>
      <c r="H84" s="120"/>
      <c r="I84" s="135"/>
      <c r="J84" s="120"/>
      <c r="K84" s="120"/>
      <c r="L84" s="118"/>
      <c r="M84" s="36"/>
    </row>
    <row r="85" spans="1:13" x14ac:dyDescent="0.25">
      <c r="A85" s="118">
        <v>23</v>
      </c>
      <c r="B85" s="118"/>
      <c r="C85" s="118"/>
      <c r="D85" s="118"/>
      <c r="E85" s="118"/>
      <c r="F85" s="119"/>
      <c r="G85" s="119"/>
      <c r="H85" s="120"/>
      <c r="I85" s="118"/>
      <c r="J85" s="120"/>
      <c r="K85" s="120"/>
      <c r="L85" s="118"/>
      <c r="M85" s="36"/>
    </row>
    <row r="86" spans="1:13" x14ac:dyDescent="0.25">
      <c r="A86" s="118">
        <v>24</v>
      </c>
      <c r="B86" s="118"/>
      <c r="C86" s="118"/>
      <c r="D86" s="118"/>
      <c r="E86" s="118"/>
      <c r="F86" s="119"/>
      <c r="G86" s="119"/>
      <c r="H86" s="120"/>
      <c r="I86" s="118"/>
      <c r="J86" s="120"/>
      <c r="K86" s="120"/>
      <c r="L86" s="118"/>
      <c r="M86" s="36"/>
    </row>
    <row r="87" spans="1:13" x14ac:dyDescent="0.25">
      <c r="A87" s="118">
        <v>25</v>
      </c>
      <c r="B87" s="118"/>
      <c r="C87" s="118"/>
      <c r="D87" s="118"/>
      <c r="E87" s="118"/>
      <c r="F87" s="119"/>
      <c r="G87" s="119"/>
      <c r="H87" s="120"/>
      <c r="I87" s="118"/>
      <c r="J87" s="120"/>
      <c r="K87" s="120"/>
      <c r="L87" s="118"/>
      <c r="M87" s="36"/>
    </row>
    <row r="88" spans="1:13" x14ac:dyDescent="0.25">
      <c r="A88" s="118">
        <v>26</v>
      </c>
      <c r="B88" s="118"/>
      <c r="C88" s="118"/>
      <c r="D88" s="118"/>
      <c r="E88" s="118"/>
      <c r="F88" s="119"/>
      <c r="G88" s="119"/>
      <c r="H88" s="120"/>
      <c r="I88" s="118"/>
      <c r="J88" s="120"/>
      <c r="K88" s="120"/>
      <c r="L88" s="118"/>
      <c r="M88" s="36"/>
    </row>
    <row r="89" spans="1:13" x14ac:dyDescent="0.25">
      <c r="A89" s="118">
        <v>27</v>
      </c>
      <c r="B89" s="118"/>
      <c r="C89" s="118"/>
      <c r="D89" s="118"/>
      <c r="E89" s="118"/>
      <c r="F89" s="119"/>
      <c r="G89" s="119"/>
      <c r="H89" s="120"/>
      <c r="I89" s="118"/>
      <c r="J89" s="120"/>
      <c r="K89" s="120"/>
      <c r="L89" s="118"/>
      <c r="M89" s="36"/>
    </row>
    <row r="90" spans="1:13" x14ac:dyDescent="0.25">
      <c r="A90" s="118">
        <v>28</v>
      </c>
      <c r="B90" s="118"/>
      <c r="C90" s="118"/>
      <c r="D90" s="118"/>
      <c r="E90" s="118"/>
      <c r="F90" s="119"/>
      <c r="G90" s="119"/>
      <c r="H90" s="120"/>
      <c r="I90" s="118"/>
      <c r="J90" s="120"/>
      <c r="K90" s="120"/>
      <c r="L90" s="118"/>
      <c r="M90" s="36"/>
    </row>
    <row r="91" spans="1:13" x14ac:dyDescent="0.25">
      <c r="A91" s="118">
        <v>29</v>
      </c>
      <c r="B91" s="118"/>
      <c r="C91" s="118"/>
      <c r="D91" s="118"/>
      <c r="E91" s="118"/>
      <c r="F91" s="119"/>
      <c r="G91" s="119"/>
      <c r="H91" s="120"/>
      <c r="I91" s="118"/>
      <c r="J91" s="120"/>
      <c r="K91" s="120"/>
      <c r="L91" s="118"/>
      <c r="M91" s="36"/>
    </row>
    <row r="92" spans="1:13" x14ac:dyDescent="0.25">
      <c r="A92" s="118">
        <v>30</v>
      </c>
      <c r="B92" s="118"/>
      <c r="C92" s="118"/>
      <c r="D92" s="118"/>
      <c r="E92" s="118"/>
      <c r="F92" s="119"/>
      <c r="G92" s="119"/>
      <c r="H92" s="120"/>
      <c r="I92" s="118"/>
      <c r="J92" s="120"/>
      <c r="K92" s="120"/>
      <c r="L92" s="118"/>
      <c r="M92" s="36"/>
    </row>
    <row r="93" spans="1:13" x14ac:dyDescent="0.25">
      <c r="A93" s="118">
        <v>31</v>
      </c>
      <c r="B93" s="118"/>
      <c r="C93" s="118"/>
      <c r="D93" s="118"/>
      <c r="E93" s="118"/>
      <c r="F93" s="119"/>
      <c r="G93" s="119"/>
      <c r="H93" s="120"/>
      <c r="I93" s="118"/>
      <c r="J93" s="120"/>
      <c r="K93" s="120"/>
      <c r="L93" s="118"/>
      <c r="M93" s="36"/>
    </row>
    <row r="94" spans="1:13" x14ac:dyDescent="0.25">
      <c r="A94" s="118">
        <v>32</v>
      </c>
      <c r="B94" s="118"/>
      <c r="C94" s="118"/>
      <c r="D94" s="118"/>
      <c r="E94" s="118"/>
      <c r="F94" s="119"/>
      <c r="G94" s="119"/>
      <c r="H94" s="120"/>
      <c r="I94" s="118"/>
      <c r="J94" s="120"/>
      <c r="K94" s="120"/>
      <c r="L94" s="118"/>
      <c r="M94" s="36"/>
    </row>
    <row r="95" spans="1:13" x14ac:dyDescent="0.25">
      <c r="A95" s="118">
        <v>33</v>
      </c>
      <c r="B95" s="118"/>
      <c r="C95" s="118"/>
      <c r="D95" s="118"/>
      <c r="E95" s="118"/>
      <c r="F95" s="119"/>
      <c r="G95" s="119"/>
      <c r="H95" s="120"/>
      <c r="I95" s="118"/>
      <c r="J95" s="120"/>
      <c r="K95" s="120"/>
      <c r="L95" s="118"/>
      <c r="M95" s="36"/>
    </row>
    <row r="96" spans="1:13" x14ac:dyDescent="0.25">
      <c r="A96" s="118">
        <v>34</v>
      </c>
      <c r="B96" s="118"/>
      <c r="C96" s="118"/>
      <c r="D96" s="118"/>
      <c r="E96" s="118"/>
      <c r="F96" s="119"/>
      <c r="G96" s="119"/>
      <c r="H96" s="120"/>
      <c r="I96" s="118"/>
      <c r="J96" s="120"/>
      <c r="K96" s="120"/>
      <c r="L96" s="118"/>
      <c r="M96" s="36"/>
    </row>
    <row r="97" spans="1:13" x14ac:dyDescent="0.25">
      <c r="A97" s="118">
        <v>35</v>
      </c>
      <c r="B97" s="118"/>
      <c r="C97" s="118"/>
      <c r="D97" s="118"/>
      <c r="E97" s="118"/>
      <c r="F97" s="119"/>
      <c r="G97" s="119"/>
      <c r="H97" s="120"/>
      <c r="I97" s="118"/>
      <c r="J97" s="120"/>
      <c r="K97" s="120"/>
      <c r="L97" s="118"/>
      <c r="M97" s="36"/>
    </row>
    <row r="98" spans="1:13" x14ac:dyDescent="0.25">
      <c r="A98" s="118">
        <v>36</v>
      </c>
      <c r="B98" s="118"/>
      <c r="C98" s="118"/>
      <c r="D98" s="118"/>
      <c r="E98" s="118"/>
      <c r="F98" s="119"/>
      <c r="G98" s="119"/>
      <c r="H98" s="120"/>
      <c r="I98" s="118"/>
      <c r="J98" s="120"/>
      <c r="K98" s="120"/>
      <c r="L98" s="118"/>
      <c r="M98" s="36"/>
    </row>
    <row r="99" spans="1:13" x14ac:dyDescent="0.25">
      <c r="A99" s="118">
        <v>37</v>
      </c>
      <c r="B99" s="118"/>
      <c r="C99" s="118"/>
      <c r="D99" s="118"/>
      <c r="E99" s="118"/>
      <c r="F99" s="119"/>
      <c r="G99" s="119"/>
      <c r="H99" s="120"/>
      <c r="I99" s="118"/>
      <c r="J99" s="120"/>
      <c r="K99" s="120"/>
      <c r="L99" s="118"/>
      <c r="M99" s="36"/>
    </row>
    <row r="100" spans="1:13" x14ac:dyDescent="0.25">
      <c r="A100" s="118">
        <v>38</v>
      </c>
      <c r="B100" s="118"/>
      <c r="C100" s="118"/>
      <c r="D100" s="118"/>
      <c r="E100" s="118"/>
      <c r="F100" s="119"/>
      <c r="G100" s="119"/>
      <c r="H100" s="120"/>
      <c r="I100" s="118"/>
      <c r="J100" s="120"/>
      <c r="K100" s="120"/>
      <c r="L100" s="118"/>
      <c r="M100" s="36"/>
    </row>
    <row r="101" spans="1:13" x14ac:dyDescent="0.25">
      <c r="A101" s="118">
        <v>39</v>
      </c>
      <c r="B101" s="118"/>
      <c r="C101" s="118"/>
      <c r="D101" s="118"/>
      <c r="E101" s="118"/>
      <c r="F101" s="119"/>
      <c r="G101" s="119"/>
      <c r="H101" s="120"/>
      <c r="I101" s="118"/>
      <c r="J101" s="120"/>
      <c r="K101" s="120"/>
      <c r="L101" s="118"/>
      <c r="M101" s="36"/>
    </row>
    <row r="102" spans="1:13" x14ac:dyDescent="0.25">
      <c r="A102" s="118">
        <v>40</v>
      </c>
      <c r="B102" s="118"/>
      <c r="C102" s="118"/>
      <c r="D102" s="118"/>
      <c r="E102" s="118"/>
      <c r="F102" s="119"/>
      <c r="G102" s="119"/>
      <c r="H102" s="120"/>
      <c r="I102" s="118"/>
      <c r="J102" s="120"/>
      <c r="K102" s="120"/>
      <c r="L102" s="118"/>
      <c r="M102" s="36"/>
    </row>
    <row r="103" spans="1:13" x14ac:dyDescent="0.25">
      <c r="A103" s="118">
        <v>41</v>
      </c>
      <c r="B103" s="118"/>
      <c r="C103" s="118"/>
      <c r="D103" s="118"/>
      <c r="E103" s="118"/>
      <c r="F103" s="119"/>
      <c r="G103" s="119"/>
      <c r="H103" s="120"/>
      <c r="I103" s="118"/>
      <c r="J103" s="120"/>
      <c r="K103" s="120"/>
      <c r="L103" s="118"/>
      <c r="M103" s="36"/>
    </row>
    <row r="104" spans="1:13" x14ac:dyDescent="0.25">
      <c r="A104" s="118">
        <v>42</v>
      </c>
      <c r="B104" s="118"/>
      <c r="C104" s="118"/>
      <c r="D104" s="118"/>
      <c r="E104" s="118"/>
      <c r="F104" s="119"/>
      <c r="G104" s="119"/>
      <c r="H104" s="120"/>
      <c r="I104" s="118"/>
      <c r="J104" s="120"/>
      <c r="K104" s="120"/>
      <c r="L104" s="118"/>
      <c r="M104" s="36"/>
    </row>
    <row r="105" spans="1:13" x14ac:dyDescent="0.25">
      <c r="A105" s="118">
        <v>43</v>
      </c>
      <c r="B105" s="118"/>
      <c r="C105" s="118"/>
      <c r="D105" s="118"/>
      <c r="E105" s="118"/>
      <c r="F105" s="119"/>
      <c r="G105" s="119"/>
      <c r="H105" s="120"/>
      <c r="I105" s="118"/>
      <c r="J105" s="120"/>
      <c r="K105" s="120"/>
      <c r="L105" s="118"/>
      <c r="M105" s="36"/>
    </row>
    <row r="106" spans="1:13" x14ac:dyDescent="0.25">
      <c r="A106" s="118">
        <v>44</v>
      </c>
      <c r="B106" s="118"/>
      <c r="C106" s="118"/>
      <c r="D106" s="118"/>
      <c r="E106" s="118"/>
      <c r="F106" s="119"/>
      <c r="G106" s="119"/>
      <c r="H106" s="120"/>
      <c r="I106" s="118"/>
      <c r="J106" s="120"/>
      <c r="K106" s="120"/>
      <c r="L106" s="118"/>
      <c r="M106" s="36"/>
    </row>
    <row r="107" spans="1:13" x14ac:dyDescent="0.25">
      <c r="A107" s="118">
        <v>45</v>
      </c>
      <c r="B107" s="118"/>
      <c r="C107" s="118"/>
      <c r="D107" s="118"/>
      <c r="E107" s="118"/>
      <c r="F107" s="119"/>
      <c r="G107" s="119"/>
      <c r="H107" s="120"/>
      <c r="I107" s="118"/>
      <c r="J107" s="120"/>
      <c r="K107" s="120"/>
      <c r="L107" s="118"/>
      <c r="M107" s="36"/>
    </row>
    <row r="108" spans="1:13" x14ac:dyDescent="0.25">
      <c r="A108" s="118">
        <v>46</v>
      </c>
      <c r="B108" s="118"/>
      <c r="C108" s="118"/>
      <c r="D108" s="118"/>
      <c r="E108" s="118"/>
      <c r="F108" s="120"/>
      <c r="G108" s="120"/>
      <c r="H108" s="120"/>
      <c r="I108" s="118"/>
      <c r="J108" s="120"/>
      <c r="K108" s="120"/>
      <c r="L108" s="118"/>
      <c r="M108" s="36"/>
    </row>
    <row r="109" spans="1:13" x14ac:dyDescent="0.25">
      <c r="A109" s="118">
        <v>47</v>
      </c>
      <c r="B109" s="120"/>
      <c r="C109" s="118"/>
      <c r="D109" s="118"/>
      <c r="E109" s="118"/>
      <c r="F109" s="120"/>
      <c r="G109" s="120"/>
      <c r="H109" s="120"/>
      <c r="I109" s="118"/>
      <c r="J109" s="120"/>
      <c r="K109" s="120"/>
      <c r="L109" s="118"/>
      <c r="M109" s="36"/>
    </row>
    <row r="110" spans="1:13" x14ac:dyDescent="0.25">
      <c r="A110" s="118">
        <v>48</v>
      </c>
      <c r="B110" s="120"/>
      <c r="C110" s="118"/>
      <c r="D110" s="118"/>
      <c r="E110" s="118"/>
      <c r="F110" s="120"/>
      <c r="G110" s="120"/>
      <c r="H110" s="120"/>
      <c r="I110" s="118"/>
      <c r="J110" s="120"/>
      <c r="K110" s="120"/>
      <c r="L110" s="118"/>
      <c r="M110" s="36"/>
    </row>
    <row r="111" spans="1:13" x14ac:dyDescent="0.25">
      <c r="A111" s="118">
        <v>49</v>
      </c>
      <c r="B111" s="120"/>
      <c r="C111" s="118"/>
      <c r="D111" s="118"/>
      <c r="E111" s="118"/>
      <c r="F111" s="120"/>
      <c r="G111" s="120"/>
      <c r="H111" s="120"/>
      <c r="I111" s="118"/>
      <c r="J111" s="120"/>
      <c r="K111" s="120"/>
      <c r="L111" s="118"/>
      <c r="M111" s="36"/>
    </row>
    <row r="112" spans="1:13" x14ac:dyDescent="0.25">
      <c r="A112" s="32">
        <v>50</v>
      </c>
      <c r="B112" s="14"/>
      <c r="C112" s="32"/>
      <c r="D112" s="32"/>
      <c r="E112" s="32"/>
      <c r="F112" s="14"/>
      <c r="G112" s="14"/>
      <c r="H112" s="14"/>
      <c r="I112" s="32"/>
      <c r="J112" s="14"/>
      <c r="K112" s="14"/>
      <c r="L112" s="32"/>
      <c r="M112" s="37"/>
    </row>
  </sheetData>
  <mergeCells count="2">
    <mergeCell ref="E1:G2"/>
    <mergeCell ref="A36:B36"/>
  </mergeCells>
  <conditionalFormatting sqref="A17 C17:J17">
    <cfRule type="expression" dxfId="82" priority="24">
      <formula>$A$14=FALSE</formula>
    </cfRule>
  </conditionalFormatting>
  <conditionalFormatting sqref="A22:J30 A21:C21 E21:J21 C34 E33:E34">
    <cfRule type="expression" dxfId="81" priority="13">
      <formula>$B$14=FALSE</formula>
    </cfRule>
  </conditionalFormatting>
  <conditionalFormatting sqref="F38:J42 C38:C42 A38:A42">
    <cfRule type="expression" dxfId="80" priority="22">
      <formula>$C$14=FALSE</formula>
    </cfRule>
  </conditionalFormatting>
  <conditionalFormatting sqref="B38:B42">
    <cfRule type="expression" dxfId="79" priority="19">
      <formula>$C$14=FALSE</formula>
    </cfRule>
  </conditionalFormatting>
  <conditionalFormatting sqref="G6:G11">
    <cfRule type="containsText" dxfId="78" priority="16" operator="containsText" text="Incomplete">
      <formula>NOT(ISERROR(SEARCH("Incomplete",G6)))</formula>
    </cfRule>
    <cfRule type="containsText" dxfId="77" priority="17" operator="containsText" text="Pass">
      <formula>NOT(ISERROR(SEARCH("Pass",G6)))</formula>
    </cfRule>
    <cfRule type="containsText" dxfId="76" priority="18" operator="containsText" text="Fail">
      <formula>NOT(ISERROR(SEARCH("Fail",G6)))</formula>
    </cfRule>
  </conditionalFormatting>
  <conditionalFormatting sqref="D38:E42">
    <cfRule type="expression" dxfId="75" priority="14">
      <formula>$C$14=FALSE</formula>
    </cfRule>
  </conditionalFormatting>
  <conditionalFormatting sqref="D21">
    <cfRule type="expression" dxfId="74" priority="12">
      <formula>$B$14=FALSE</formula>
    </cfRule>
  </conditionalFormatting>
  <conditionalFormatting sqref="A46:B56 J46:J56 F46:G56 F59:G59 J59 A59">
    <cfRule type="expression" dxfId="73" priority="11">
      <formula>$D$14=FALSE</formula>
    </cfRule>
  </conditionalFormatting>
  <conditionalFormatting sqref="C46:C56">
    <cfRule type="expression" dxfId="72" priority="10">
      <formula>$D$14=FALSE</formula>
    </cfRule>
  </conditionalFormatting>
  <conditionalFormatting sqref="C59">
    <cfRule type="expression" dxfId="71" priority="6">
      <formula>$D$14=FALSE</formula>
    </cfRule>
  </conditionalFormatting>
  <conditionalFormatting sqref="F57:G57 J57 A57:B57">
    <cfRule type="expression" dxfId="70" priority="9">
      <formula>$D$14=FALSE</formula>
    </cfRule>
  </conditionalFormatting>
  <conditionalFormatting sqref="C57">
    <cfRule type="expression" dxfId="69" priority="8">
      <formula>$D$14=FALSE</formula>
    </cfRule>
  </conditionalFormatting>
  <conditionalFormatting sqref="B59">
    <cfRule type="expression" dxfId="68" priority="7">
      <formula>$D$14=FALSE</formula>
    </cfRule>
  </conditionalFormatting>
  <conditionalFormatting sqref="A58:B58 J58 F58:G58">
    <cfRule type="expression" dxfId="67" priority="5">
      <formula>$D$14=FALSE</formula>
    </cfRule>
  </conditionalFormatting>
  <conditionalFormatting sqref="C58">
    <cfRule type="expression" dxfId="66" priority="4">
      <formula>$D$14=FALSE</formula>
    </cfRule>
  </conditionalFormatting>
  <conditionalFormatting sqref="B17">
    <cfRule type="containsText" dxfId="65" priority="1" operator="containsText" text="Incomplete">
      <formula>NOT(ISERROR(SEARCH("Incomplete",B17)))</formula>
    </cfRule>
    <cfRule type="containsText" dxfId="64" priority="2" operator="containsText" text="Pass">
      <formula>NOT(ISERROR(SEARCH("Pass",B17)))</formula>
    </cfRule>
    <cfRule type="containsText" dxfId="63" priority="3" operator="containsText" text="Fail">
      <formula>NOT(ISERROR(SEARCH("Fail",B17)))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CheckBox1_Click">
                <anchor moveWithCells="1">
                  <from>
                    <xdr:col>1</xdr:col>
                    <xdr:colOff>542925</xdr:colOff>
                    <xdr:row>7</xdr:row>
                    <xdr:rowOff>171450</xdr:rowOff>
                  </from>
                  <to>
                    <xdr:col>1</xdr:col>
                    <xdr:colOff>1352550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[0]!Library_Click">
                <anchor moveWithCells="1">
                  <from>
                    <xdr:col>0</xdr:col>
                    <xdr:colOff>342900</xdr:colOff>
                    <xdr:row>7</xdr:row>
                    <xdr:rowOff>171450</xdr:rowOff>
                  </from>
                  <to>
                    <xdr:col>1</xdr:col>
                    <xdr:colOff>352425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 macro="[0]!CheckBox6_Click">
                <anchor moveWithCells="1">
                  <from>
                    <xdr:col>0</xdr:col>
                    <xdr:colOff>342900</xdr:colOff>
                    <xdr:row>8</xdr:row>
                    <xdr:rowOff>161925</xdr:rowOff>
                  </from>
                  <to>
                    <xdr:col>1</xdr:col>
                    <xdr:colOff>352425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 macro="[0]!CheckBox7_Click">
                <anchor moveWithCells="1">
                  <from>
                    <xdr:col>1</xdr:col>
                    <xdr:colOff>542925</xdr:colOff>
                    <xdr:row>8</xdr:row>
                    <xdr:rowOff>142875</xdr:rowOff>
                  </from>
                  <to>
                    <xdr:col>1</xdr:col>
                    <xdr:colOff>1352550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 macro="[0]!AnalogRF_Click">
                <anchor moveWithCells="1">
                  <from>
                    <xdr:col>0</xdr:col>
                    <xdr:colOff>333375</xdr:colOff>
                    <xdr:row>10</xdr:row>
                    <xdr:rowOff>123825</xdr:rowOff>
                  </from>
                  <to>
                    <xdr:col>1</xdr:col>
                    <xdr:colOff>342900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 macro="[0]!HighSpeeed_click">
                <anchor moveWithCells="1">
                  <from>
                    <xdr:col>1</xdr:col>
                    <xdr:colOff>542925</xdr:colOff>
                    <xdr:row>9</xdr:row>
                    <xdr:rowOff>123825</xdr:rowOff>
                  </from>
                  <to>
                    <xdr:col>1</xdr:col>
                    <xdr:colOff>1304925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macro="[0]!MCUCPU_Click">
                <anchor moveWithCells="1">
                  <from>
                    <xdr:col>0</xdr:col>
                    <xdr:colOff>333375</xdr:colOff>
                    <xdr:row>9</xdr:row>
                    <xdr:rowOff>133350</xdr:rowOff>
                  </from>
                  <to>
                    <xdr:col>1</xdr:col>
                    <xdr:colOff>352425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6"/>
  <sheetViews>
    <sheetView tabSelected="1" workbookViewId="0">
      <selection activeCell="C15" sqref="C15"/>
    </sheetView>
  </sheetViews>
  <sheetFormatPr defaultRowHeight="15" x14ac:dyDescent="0.25"/>
  <cols>
    <col min="1" max="1" width="10.7109375" customWidth="1"/>
    <col min="2" max="2" width="50.85546875" customWidth="1"/>
    <col min="3" max="8" width="10.7109375" customWidth="1"/>
  </cols>
  <sheetData>
    <row r="1" spans="1:9" ht="18.75" x14ac:dyDescent="0.3">
      <c r="A1" s="94" t="s">
        <v>0</v>
      </c>
      <c r="B1" s="95" t="str">
        <f>'Design Review Top'!B1</f>
        <v>ABC-001</v>
      </c>
      <c r="C1" s="95" t="s">
        <v>46</v>
      </c>
      <c r="D1" s="96"/>
      <c r="E1" s="95"/>
      <c r="F1" s="96"/>
      <c r="G1" s="96"/>
      <c r="H1" s="96"/>
      <c r="I1" s="97"/>
    </row>
    <row r="2" spans="1:9" ht="18.75" x14ac:dyDescent="0.3">
      <c r="A2" s="98" t="s">
        <v>5</v>
      </c>
      <c r="B2" s="99" t="str">
        <f>'Design Review Top'!B2</f>
        <v>ABC-001_Board</v>
      </c>
      <c r="C2" s="99"/>
      <c r="D2" s="80"/>
      <c r="E2" s="80"/>
      <c r="F2" s="80"/>
      <c r="G2" s="80"/>
      <c r="H2" s="40" t="s">
        <v>21</v>
      </c>
      <c r="I2" s="100">
        <f>'Design Review Top'!I3</f>
        <v>1.4</v>
      </c>
    </row>
    <row r="3" spans="1:9" x14ac:dyDescent="0.25">
      <c r="A3" s="101" t="s">
        <v>22</v>
      </c>
      <c r="B3" s="191">
        <f>'Design Review Top'!B3</f>
        <v>1</v>
      </c>
      <c r="C3" s="102"/>
      <c r="D3" s="80"/>
      <c r="E3" s="80"/>
      <c r="F3" s="80"/>
      <c r="G3" s="80"/>
      <c r="H3" s="80"/>
      <c r="I3" s="103"/>
    </row>
    <row r="4" spans="1:9" ht="31.5" x14ac:dyDescent="0.25">
      <c r="A4" s="104"/>
      <c r="B4" s="237" t="s">
        <v>133</v>
      </c>
      <c r="C4" s="105" t="s">
        <v>138</v>
      </c>
      <c r="D4" s="80"/>
      <c r="E4" s="80"/>
      <c r="F4" s="80"/>
      <c r="G4" s="80"/>
      <c r="H4" s="80"/>
      <c r="I4" s="103"/>
    </row>
    <row r="5" spans="1:9" x14ac:dyDescent="0.25">
      <c r="A5" s="78" t="s">
        <v>1</v>
      </c>
      <c r="B5" s="79" t="s">
        <v>47</v>
      </c>
      <c r="C5" s="242" t="s">
        <v>36</v>
      </c>
      <c r="D5" s="242"/>
      <c r="E5" s="242"/>
      <c r="F5" s="242"/>
      <c r="G5" s="242"/>
      <c r="H5" s="242"/>
      <c r="I5" s="232"/>
    </row>
    <row r="6" spans="1:9" ht="15.75" x14ac:dyDescent="0.25">
      <c r="A6" s="81"/>
      <c r="B6" s="82" t="s">
        <v>50</v>
      </c>
      <c r="C6" s="107" t="s">
        <v>32</v>
      </c>
      <c r="D6" s="107" t="s">
        <v>33</v>
      </c>
      <c r="E6" s="107" t="s">
        <v>34</v>
      </c>
      <c r="F6" s="107" t="s">
        <v>35</v>
      </c>
      <c r="G6" s="107" t="s">
        <v>48</v>
      </c>
      <c r="H6" s="107" t="s">
        <v>49</v>
      </c>
      <c r="I6" s="232"/>
    </row>
    <row r="7" spans="1:9" ht="30" x14ac:dyDescent="0.25">
      <c r="A7" s="86">
        <v>1</v>
      </c>
      <c r="B7" s="167" t="s">
        <v>56</v>
      </c>
      <c r="C7" s="86"/>
      <c r="D7" s="90" t="s">
        <v>87</v>
      </c>
      <c r="E7" s="90" t="s">
        <v>87</v>
      </c>
      <c r="F7" s="90"/>
      <c r="G7" s="90"/>
      <c r="H7" s="90"/>
      <c r="I7" s="232"/>
    </row>
    <row r="8" spans="1:9" ht="30" x14ac:dyDescent="0.25">
      <c r="A8" s="83">
        <v>2</v>
      </c>
      <c r="B8" s="168" t="s">
        <v>57</v>
      </c>
      <c r="C8" s="83"/>
      <c r="D8" s="90" t="s">
        <v>87</v>
      </c>
      <c r="E8" s="90" t="s">
        <v>87</v>
      </c>
      <c r="F8" s="90"/>
      <c r="G8" s="90"/>
      <c r="H8" s="90"/>
      <c r="I8" s="232"/>
    </row>
    <row r="9" spans="1:9" ht="30" customHeight="1" x14ac:dyDescent="0.25">
      <c r="A9" s="87">
        <v>3</v>
      </c>
      <c r="B9" s="165" t="s">
        <v>53</v>
      </c>
      <c r="C9" s="83"/>
      <c r="D9" s="90" t="s">
        <v>87</v>
      </c>
      <c r="E9" s="90" t="s">
        <v>87</v>
      </c>
      <c r="F9" s="90"/>
      <c r="G9" s="90"/>
      <c r="H9" s="90"/>
      <c r="I9" s="232"/>
    </row>
    <row r="10" spans="1:9" ht="15.75" x14ac:dyDescent="0.25">
      <c r="A10" s="85"/>
      <c r="B10" s="166" t="s">
        <v>10</v>
      </c>
      <c r="C10" s="107" t="s">
        <v>32</v>
      </c>
      <c r="D10" s="107" t="s">
        <v>33</v>
      </c>
      <c r="E10" s="133" t="s">
        <v>34</v>
      </c>
      <c r="F10" s="107" t="s">
        <v>35</v>
      </c>
      <c r="G10" s="107" t="s">
        <v>48</v>
      </c>
      <c r="H10" s="107" t="s">
        <v>49</v>
      </c>
      <c r="I10" s="232"/>
    </row>
    <row r="11" spans="1:9" ht="30" customHeight="1" x14ac:dyDescent="0.25">
      <c r="A11" s="86">
        <v>1</v>
      </c>
      <c r="B11" s="167" t="s">
        <v>55</v>
      </c>
      <c r="C11" s="83"/>
      <c r="D11" s="90" t="s">
        <v>87</v>
      </c>
      <c r="E11" s="90"/>
      <c r="F11" s="90"/>
      <c r="G11" s="90"/>
      <c r="H11" s="90"/>
      <c r="I11" s="232"/>
    </row>
    <row r="12" spans="1:9" ht="24" customHeight="1" x14ac:dyDescent="0.25">
      <c r="A12" s="83">
        <v>2</v>
      </c>
      <c r="B12" s="168" t="s">
        <v>54</v>
      </c>
      <c r="C12" s="83"/>
      <c r="D12" s="90" t="s">
        <v>87</v>
      </c>
      <c r="E12" s="90"/>
      <c r="F12" s="90"/>
      <c r="G12" s="90"/>
      <c r="H12" s="90"/>
      <c r="I12" s="232"/>
    </row>
    <row r="13" spans="1:9" ht="30" x14ac:dyDescent="0.25">
      <c r="A13" s="87">
        <v>3</v>
      </c>
      <c r="B13" s="165" t="s">
        <v>58</v>
      </c>
      <c r="C13" s="83"/>
      <c r="D13" s="90" t="s">
        <v>87</v>
      </c>
      <c r="E13" s="90"/>
      <c r="F13" s="90"/>
      <c r="G13" s="90"/>
      <c r="H13" s="90"/>
      <c r="I13" s="232"/>
    </row>
    <row r="14" spans="1:9" ht="15.75" x14ac:dyDescent="0.25">
      <c r="A14" s="85"/>
      <c r="B14" s="166" t="s">
        <v>25</v>
      </c>
      <c r="C14" s="107" t="s">
        <v>32</v>
      </c>
      <c r="D14" s="107" t="s">
        <v>33</v>
      </c>
      <c r="E14" s="107" t="s">
        <v>34</v>
      </c>
      <c r="F14" s="107" t="s">
        <v>35</v>
      </c>
      <c r="G14" s="107" t="s">
        <v>48</v>
      </c>
      <c r="H14" s="107" t="s">
        <v>49</v>
      </c>
      <c r="I14" s="232"/>
    </row>
    <row r="15" spans="1:9" ht="30" customHeight="1" x14ac:dyDescent="0.25">
      <c r="A15" s="86">
        <v>1</v>
      </c>
      <c r="B15" s="167" t="s">
        <v>141</v>
      </c>
      <c r="C15" s="83"/>
      <c r="D15" s="90" t="s">
        <v>87</v>
      </c>
      <c r="E15" s="90" t="s">
        <v>87</v>
      </c>
      <c r="F15" s="90"/>
      <c r="G15" s="90"/>
      <c r="H15" s="90"/>
      <c r="I15" s="232"/>
    </row>
    <row r="16" spans="1:9" ht="30" customHeight="1" x14ac:dyDescent="0.25">
      <c r="A16" s="83">
        <v>2</v>
      </c>
      <c r="B16" s="168" t="s">
        <v>59</v>
      </c>
      <c r="C16" s="83"/>
      <c r="D16" s="90"/>
      <c r="E16" s="90" t="s">
        <v>87</v>
      </c>
      <c r="F16" s="90"/>
      <c r="G16" s="90"/>
      <c r="H16" s="90"/>
      <c r="I16" s="232"/>
    </row>
    <row r="17" spans="1:9" ht="30" x14ac:dyDescent="0.25">
      <c r="A17" s="83">
        <v>3</v>
      </c>
      <c r="B17" s="168" t="s">
        <v>60</v>
      </c>
      <c r="C17" s="83"/>
      <c r="D17" s="90"/>
      <c r="E17" s="90" t="s">
        <v>87</v>
      </c>
      <c r="F17" s="90"/>
      <c r="G17" s="90"/>
      <c r="H17" s="90"/>
      <c r="I17" s="232"/>
    </row>
    <row r="18" spans="1:9" ht="30" x14ac:dyDescent="0.25">
      <c r="A18" s="87">
        <v>4</v>
      </c>
      <c r="B18" s="165" t="s">
        <v>61</v>
      </c>
      <c r="C18" s="83"/>
      <c r="D18" s="90" t="s">
        <v>87</v>
      </c>
      <c r="E18" s="90" t="s">
        <v>87</v>
      </c>
      <c r="F18" s="90"/>
      <c r="G18" s="90"/>
      <c r="H18" s="90"/>
      <c r="I18" s="232"/>
    </row>
    <row r="19" spans="1:9" ht="15.75" x14ac:dyDescent="0.25">
      <c r="A19" s="85"/>
      <c r="B19" s="166" t="s">
        <v>23</v>
      </c>
      <c r="C19" s="107" t="s">
        <v>32</v>
      </c>
      <c r="D19" s="107" t="s">
        <v>33</v>
      </c>
      <c r="E19" s="107" t="s">
        <v>34</v>
      </c>
      <c r="F19" s="107" t="s">
        <v>35</v>
      </c>
      <c r="G19" s="107" t="s">
        <v>48</v>
      </c>
      <c r="H19" s="107" t="s">
        <v>49</v>
      </c>
      <c r="I19" s="232"/>
    </row>
    <row r="20" spans="1:9" ht="30" x14ac:dyDescent="0.25">
      <c r="A20" s="86">
        <v>1</v>
      </c>
      <c r="B20" s="167" t="s">
        <v>62</v>
      </c>
      <c r="C20" s="83"/>
      <c r="D20" s="90" t="s">
        <v>87</v>
      </c>
      <c r="E20" s="90"/>
      <c r="F20" s="90"/>
      <c r="G20" s="90"/>
      <c r="H20" s="90"/>
      <c r="I20" s="232"/>
    </row>
    <row r="21" spans="1:9" ht="30" x14ac:dyDescent="0.25">
      <c r="A21" s="83">
        <v>2</v>
      </c>
      <c r="B21" s="168" t="s">
        <v>63</v>
      </c>
      <c r="C21" s="83"/>
      <c r="D21" s="90" t="s">
        <v>87</v>
      </c>
      <c r="E21" s="90"/>
      <c r="F21" s="90"/>
      <c r="G21" s="90"/>
      <c r="H21" s="90"/>
      <c r="I21" s="232"/>
    </row>
    <row r="22" spans="1:9" ht="30" x14ac:dyDescent="0.25">
      <c r="A22" s="83">
        <v>3</v>
      </c>
      <c r="B22" s="168" t="s">
        <v>64</v>
      </c>
      <c r="C22" s="83"/>
      <c r="D22" s="90" t="s">
        <v>87</v>
      </c>
      <c r="E22" s="90"/>
      <c r="F22" s="90"/>
      <c r="G22" s="90"/>
      <c r="H22" s="90"/>
      <c r="I22" s="232"/>
    </row>
    <row r="23" spans="1:9" ht="30" x14ac:dyDescent="0.25">
      <c r="A23" s="83">
        <v>4</v>
      </c>
      <c r="B23" s="168" t="s">
        <v>66</v>
      </c>
      <c r="C23" s="83"/>
      <c r="D23" s="90" t="s">
        <v>87</v>
      </c>
      <c r="E23" s="90" t="s">
        <v>87</v>
      </c>
      <c r="F23" s="90"/>
      <c r="G23" s="90"/>
      <c r="H23" s="90"/>
      <c r="I23" s="232"/>
    </row>
    <row r="24" spans="1:9" ht="30" x14ac:dyDescent="0.25">
      <c r="A24" s="83">
        <v>5</v>
      </c>
      <c r="B24" s="168" t="s">
        <v>65</v>
      </c>
      <c r="C24" s="83"/>
      <c r="D24" s="90" t="s">
        <v>87</v>
      </c>
      <c r="E24" s="90" t="s">
        <v>87</v>
      </c>
      <c r="F24" s="90"/>
      <c r="G24" s="90"/>
      <c r="H24" s="90"/>
      <c r="I24" s="232"/>
    </row>
    <row r="25" spans="1:9" ht="45" x14ac:dyDescent="0.25">
      <c r="A25" s="87">
        <v>6</v>
      </c>
      <c r="B25" s="165" t="s">
        <v>68</v>
      </c>
      <c r="C25" s="83"/>
      <c r="D25" s="90" t="s">
        <v>87</v>
      </c>
      <c r="E25" s="90" t="s">
        <v>87</v>
      </c>
      <c r="F25" s="90"/>
      <c r="G25" s="90"/>
      <c r="H25" s="90"/>
      <c r="I25" s="232"/>
    </row>
    <row r="26" spans="1:9" ht="15.75" x14ac:dyDescent="0.25">
      <c r="A26" s="85"/>
      <c r="B26" s="166" t="s">
        <v>51</v>
      </c>
      <c r="C26" s="107" t="s">
        <v>32</v>
      </c>
      <c r="D26" s="107" t="s">
        <v>33</v>
      </c>
      <c r="E26" s="107" t="s">
        <v>34</v>
      </c>
      <c r="F26" s="107" t="s">
        <v>35</v>
      </c>
      <c r="G26" s="107" t="s">
        <v>48</v>
      </c>
      <c r="H26" s="107" t="s">
        <v>49</v>
      </c>
      <c r="I26" s="232"/>
    </row>
    <row r="27" spans="1:9" ht="30" x14ac:dyDescent="0.25">
      <c r="A27" s="86">
        <v>1</v>
      </c>
      <c r="B27" s="167" t="s">
        <v>67</v>
      </c>
      <c r="C27" s="90"/>
      <c r="D27" s="90" t="s">
        <v>87</v>
      </c>
      <c r="E27" s="90"/>
      <c r="F27" s="90"/>
      <c r="G27" s="90"/>
      <c r="H27" s="90"/>
      <c r="I27" s="232"/>
    </row>
    <row r="28" spans="1:9" ht="30" customHeight="1" x14ac:dyDescent="0.25">
      <c r="A28" s="83">
        <v>2</v>
      </c>
      <c r="B28" s="168" t="s">
        <v>69</v>
      </c>
      <c r="C28" s="90"/>
      <c r="D28" s="90" t="s">
        <v>87</v>
      </c>
      <c r="E28" s="90"/>
      <c r="F28" s="90"/>
      <c r="G28" s="90"/>
      <c r="H28" s="90"/>
      <c r="I28" s="232"/>
    </row>
    <row r="29" spans="1:9" ht="30" customHeight="1" x14ac:dyDescent="0.25">
      <c r="A29" s="83">
        <v>3</v>
      </c>
      <c r="B29" s="168" t="s">
        <v>70</v>
      </c>
      <c r="C29" s="90"/>
      <c r="D29" s="90" t="s">
        <v>87</v>
      </c>
      <c r="E29" s="90"/>
      <c r="F29" s="90"/>
      <c r="G29" s="90"/>
      <c r="H29" s="90"/>
      <c r="I29" s="232"/>
    </row>
    <row r="30" spans="1:9" ht="45" x14ac:dyDescent="0.25">
      <c r="A30" s="83">
        <v>4</v>
      </c>
      <c r="B30" s="168" t="s">
        <v>71</v>
      </c>
      <c r="C30" s="90"/>
      <c r="D30" s="90" t="s">
        <v>87</v>
      </c>
      <c r="E30" s="90"/>
      <c r="F30" s="90"/>
      <c r="G30" s="90"/>
      <c r="H30" s="90"/>
      <c r="I30" s="232"/>
    </row>
    <row r="31" spans="1:9" ht="30" x14ac:dyDescent="0.25">
      <c r="A31" s="87">
        <v>5</v>
      </c>
      <c r="B31" s="165" t="s">
        <v>72</v>
      </c>
      <c r="C31" s="90"/>
      <c r="D31" s="90" t="s">
        <v>87</v>
      </c>
      <c r="E31" s="90"/>
      <c r="F31" s="90"/>
      <c r="G31" s="90"/>
      <c r="H31" s="90"/>
      <c r="I31" s="232"/>
    </row>
    <row r="32" spans="1:9" ht="15.75" hidden="1" x14ac:dyDescent="0.25">
      <c r="A32" s="85"/>
      <c r="B32" s="166" t="s">
        <v>52</v>
      </c>
      <c r="C32" s="107" t="s">
        <v>32</v>
      </c>
      <c r="D32" s="107" t="s">
        <v>33</v>
      </c>
      <c r="E32" s="107" t="s">
        <v>34</v>
      </c>
      <c r="F32" s="107" t="s">
        <v>35</v>
      </c>
      <c r="G32" s="107" t="s">
        <v>48</v>
      </c>
      <c r="H32" s="108" t="s">
        <v>49</v>
      </c>
      <c r="I32" s="103"/>
    </row>
    <row r="33" spans="1:9" ht="30" hidden="1" x14ac:dyDescent="0.25">
      <c r="A33" s="86">
        <v>1</v>
      </c>
      <c r="B33" s="167" t="s">
        <v>73</v>
      </c>
      <c r="C33" s="86"/>
      <c r="D33" s="164" t="s">
        <v>87</v>
      </c>
      <c r="E33" s="90"/>
      <c r="F33" s="88"/>
      <c r="G33" s="88"/>
      <c r="H33" s="89"/>
      <c r="I33" s="103"/>
    </row>
    <row r="34" spans="1:9" ht="45" hidden="1" x14ac:dyDescent="0.25">
      <c r="A34" s="83">
        <v>2</v>
      </c>
      <c r="B34" s="168" t="s">
        <v>92</v>
      </c>
      <c r="C34" s="83"/>
      <c r="D34" s="164" t="s">
        <v>87</v>
      </c>
      <c r="E34" s="90"/>
      <c r="F34" s="90"/>
      <c r="G34" s="90"/>
      <c r="H34" s="91"/>
      <c r="I34" s="103"/>
    </row>
    <row r="35" spans="1:9" ht="45" hidden="1" x14ac:dyDescent="0.25">
      <c r="A35" s="83">
        <v>3</v>
      </c>
      <c r="B35" s="168" t="s">
        <v>74</v>
      </c>
      <c r="C35" s="83"/>
      <c r="D35" s="164" t="s">
        <v>87</v>
      </c>
      <c r="E35" s="164" t="s">
        <v>87</v>
      </c>
      <c r="F35" s="90"/>
      <c r="G35" s="90"/>
      <c r="H35" s="91"/>
      <c r="I35" s="103"/>
    </row>
    <row r="36" spans="1:9" ht="45" hidden="1" x14ac:dyDescent="0.25">
      <c r="A36" s="87">
        <v>4</v>
      </c>
      <c r="B36" s="165" t="s">
        <v>77</v>
      </c>
      <c r="C36" s="87"/>
      <c r="D36" s="164" t="s">
        <v>87</v>
      </c>
      <c r="E36" s="164" t="s">
        <v>87</v>
      </c>
      <c r="F36" s="92"/>
      <c r="G36" s="92"/>
      <c r="H36" s="93"/>
      <c r="I36" s="103"/>
    </row>
    <row r="37" spans="1:9" ht="15.75" hidden="1" x14ac:dyDescent="0.25">
      <c r="A37" s="85"/>
      <c r="B37" s="166" t="s">
        <v>24</v>
      </c>
      <c r="C37" s="107" t="s">
        <v>32</v>
      </c>
      <c r="D37" s="107" t="s">
        <v>33</v>
      </c>
      <c r="E37" s="107" t="s">
        <v>34</v>
      </c>
      <c r="F37" s="107" t="s">
        <v>35</v>
      </c>
      <c r="G37" s="107" t="s">
        <v>48</v>
      </c>
      <c r="H37" s="108" t="s">
        <v>49</v>
      </c>
      <c r="I37" s="103"/>
    </row>
    <row r="38" spans="1:9" ht="60" hidden="1" x14ac:dyDescent="0.25">
      <c r="A38" s="86">
        <v>1</v>
      </c>
      <c r="B38" s="167" t="s">
        <v>75</v>
      </c>
      <c r="C38" s="86"/>
      <c r="D38" s="164" t="s">
        <v>87</v>
      </c>
      <c r="E38" s="164" t="s">
        <v>87</v>
      </c>
      <c r="F38" s="88"/>
      <c r="G38" s="88"/>
      <c r="H38" s="89"/>
      <c r="I38" s="103"/>
    </row>
    <row r="39" spans="1:9" ht="30" hidden="1" customHeight="1" x14ac:dyDescent="0.25">
      <c r="A39" s="83">
        <v>2</v>
      </c>
      <c r="B39" s="168" t="s">
        <v>76</v>
      </c>
      <c r="C39" s="83"/>
      <c r="D39" s="164" t="s">
        <v>87</v>
      </c>
      <c r="E39" s="164" t="s">
        <v>87</v>
      </c>
      <c r="F39" s="90"/>
      <c r="G39" s="90"/>
      <c r="H39" s="91"/>
      <c r="I39" s="103"/>
    </row>
    <row r="40" spans="1:9" ht="45" hidden="1" x14ac:dyDescent="0.25">
      <c r="A40" s="83">
        <v>3</v>
      </c>
      <c r="B40" s="168" t="s">
        <v>78</v>
      </c>
      <c r="C40" s="83"/>
      <c r="D40" s="164" t="s">
        <v>87</v>
      </c>
      <c r="E40" s="164" t="s">
        <v>87</v>
      </c>
      <c r="F40" s="90"/>
      <c r="G40" s="90"/>
      <c r="H40" s="91"/>
      <c r="I40" s="103"/>
    </row>
    <row r="41" spans="1:9" ht="30" hidden="1" customHeight="1" x14ac:dyDescent="0.25">
      <c r="A41" s="233">
        <v>4</v>
      </c>
      <c r="B41" s="168" t="s">
        <v>79</v>
      </c>
      <c r="C41" s="83"/>
      <c r="D41" s="164" t="s">
        <v>87</v>
      </c>
      <c r="E41" s="164" t="s">
        <v>87</v>
      </c>
      <c r="F41" s="90"/>
      <c r="G41" s="90"/>
      <c r="H41" s="91"/>
      <c r="I41" s="103"/>
    </row>
    <row r="42" spans="1:9" ht="33" customHeight="1" x14ac:dyDescent="0.25">
      <c r="A42" s="234"/>
      <c r="B42" s="235"/>
      <c r="C42" s="236"/>
      <c r="D42" s="236"/>
      <c r="E42" s="236"/>
      <c r="F42" s="236"/>
      <c r="G42" s="236"/>
      <c r="H42" s="236"/>
      <c r="I42" s="106"/>
    </row>
    <row r="43" spans="1:9" hidden="1" x14ac:dyDescent="0.25">
      <c r="A43" s="69" t="s">
        <v>134</v>
      </c>
      <c r="B43" s="64"/>
      <c r="C43" s="163" t="str">
        <f t="shared" ref="C43:H43" si="0">IF(OR(C7="Fail",C8="Fail",C9="Fail",C11="Fail",C12="Fail",C13="Fail",C15="Fail",C16="Fail",C17="Fail",C18="Fail",C20="Fail",C21="Fail",C22="Fail",C23="Fail",C24="Fail",C25="Fail",C27="Fail",C28="Fail",C29="Fail",C30="Fail",C31="Fail",C33="Fail",C34="Fail",C35="Fail",C36="Fail",C38="Fail",C39="Fail",C40="Fail",C41="Fail"),"Fail","Pass")</f>
        <v>Pass</v>
      </c>
      <c r="D43" s="163" t="str">
        <f t="shared" si="0"/>
        <v>Pass</v>
      </c>
      <c r="E43" s="163" t="str">
        <f t="shared" si="0"/>
        <v>Pass</v>
      </c>
      <c r="F43" s="163" t="str">
        <f t="shared" si="0"/>
        <v>Pass</v>
      </c>
      <c r="G43" s="163" t="str">
        <f t="shared" si="0"/>
        <v>Pass</v>
      </c>
      <c r="H43" s="163" t="str">
        <f t="shared" si="0"/>
        <v>Pass</v>
      </c>
    </row>
    <row r="44" spans="1:9" hidden="1" x14ac:dyDescent="0.25">
      <c r="A44" s="69" t="s">
        <v>135</v>
      </c>
      <c r="B44" s="64"/>
      <c r="C44" s="163">
        <f t="shared" ref="C44:H44" si="1">COUNTBLANK(C7:C41)</f>
        <v>29</v>
      </c>
      <c r="D44" s="163">
        <f t="shared" si="1"/>
        <v>2</v>
      </c>
      <c r="E44" s="163">
        <f t="shared" si="1"/>
        <v>13</v>
      </c>
      <c r="F44" s="163">
        <f t="shared" si="1"/>
        <v>29</v>
      </c>
      <c r="G44" s="163">
        <f t="shared" si="1"/>
        <v>29</v>
      </c>
      <c r="H44" s="163">
        <f t="shared" si="1"/>
        <v>29</v>
      </c>
      <c r="I44" s="163">
        <f>IF('Design Review Top'!G14=TRUE,0,5)+IF('Design Review Top'!F14=TRUE,0,4)+IF('Design Review Top'!E14=TRUE,0,4)</f>
        <v>8</v>
      </c>
    </row>
    <row r="45" spans="1:9" hidden="1" x14ac:dyDescent="0.25">
      <c r="A45" t="s">
        <v>87</v>
      </c>
      <c r="B45" s="64"/>
      <c r="C45">
        <f>C44-I44</f>
        <v>21</v>
      </c>
      <c r="D45">
        <f t="shared" ref="D45:H45" si="2">D44-J44</f>
        <v>2</v>
      </c>
      <c r="E45">
        <f t="shared" si="2"/>
        <v>13</v>
      </c>
      <c r="F45">
        <f t="shared" si="2"/>
        <v>29</v>
      </c>
      <c r="G45">
        <f t="shared" si="2"/>
        <v>29</v>
      </c>
      <c r="H45">
        <f t="shared" si="2"/>
        <v>29</v>
      </c>
    </row>
    <row r="46" spans="1:9" x14ac:dyDescent="0.25">
      <c r="B46" s="64"/>
    </row>
  </sheetData>
  <mergeCells count="1">
    <mergeCell ref="C5:H5"/>
  </mergeCells>
  <conditionalFormatting sqref="C33:H36 C38:H41 C7:H9 C11:H13 C15:H18 C20:H25 C27:H31">
    <cfRule type="containsText" dxfId="62" priority="2" operator="containsText" text="Fail">
      <formula>NOT(ISERROR(SEARCH("Fail",C7)))</formula>
    </cfRule>
    <cfRule type="containsText" dxfId="61" priority="3" operator="containsText" text="Pass">
      <formula>NOT(ISERROR(SEARCH("Pass",C7)))</formula>
    </cfRule>
  </conditionalFormatting>
  <conditionalFormatting sqref="C7:H31">
    <cfRule type="containsText" dxfId="60" priority="1" operator="containsText" text="N/A">
      <formula>NOT(ISERROR(SEARCH("N/A",C7)))</formula>
    </cfRule>
  </conditionalFormatting>
  <dataValidations count="1">
    <dataValidation type="list" allowBlank="1" showInputMessage="1" showErrorMessage="1" sqref="C7:H9 C11:H13 C15:H18 C20:H25 C27:H31">
      <formula1>$A$43:$A$45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49"/>
  <sheetViews>
    <sheetView zoomScale="85" zoomScaleNormal="85" workbookViewId="0">
      <selection activeCell="Q10" sqref="Q10"/>
    </sheetView>
  </sheetViews>
  <sheetFormatPr defaultRowHeight="15" x14ac:dyDescent="0.25"/>
  <cols>
    <col min="1" max="1" width="9.85546875" customWidth="1"/>
    <col min="2" max="2" width="29.140625" bestFit="1" customWidth="1"/>
    <col min="3" max="3" width="21.42578125" bestFit="1" customWidth="1"/>
    <col min="4" max="4" width="25.140625" customWidth="1"/>
    <col min="5" max="5" width="11.42578125" customWidth="1"/>
    <col min="6" max="6" width="25.140625" customWidth="1"/>
    <col min="7" max="7" width="11.28515625" customWidth="1"/>
    <col min="8" max="8" width="39.28515625" customWidth="1"/>
    <col min="9" max="9" width="11.7109375" bestFit="1" customWidth="1"/>
    <col min="10" max="10" width="11.42578125" bestFit="1" customWidth="1"/>
    <col min="11" max="11" width="11.5703125" bestFit="1" customWidth="1"/>
    <col min="12" max="13" width="12" customWidth="1"/>
    <col min="14" max="14" width="46.5703125" customWidth="1"/>
    <col min="15" max="15" width="14.28515625" customWidth="1"/>
    <col min="16" max="16" width="44.5703125" customWidth="1"/>
    <col min="17" max="17" width="17.28515625" customWidth="1"/>
    <col min="18" max="18" width="43.5703125" customWidth="1"/>
    <col min="20" max="23" width="0" hidden="1" customWidth="1"/>
  </cols>
  <sheetData>
    <row r="1" spans="1:23" ht="23.25" x14ac:dyDescent="0.35">
      <c r="A1" s="142" t="s">
        <v>0</v>
      </c>
      <c r="B1" s="143" t="str">
        <f>'Design Review Top'!B1</f>
        <v>ABC-001</v>
      </c>
      <c r="C1" s="143"/>
      <c r="D1" s="144"/>
      <c r="E1" s="193" t="s">
        <v>97</v>
      </c>
      <c r="F1" s="144"/>
      <c r="G1" s="144"/>
      <c r="H1" s="144"/>
      <c r="I1" s="144"/>
      <c r="J1" s="144"/>
      <c r="K1" s="144"/>
      <c r="L1" s="147"/>
      <c r="M1" s="49"/>
      <c r="N1" s="49"/>
      <c r="O1" s="49"/>
      <c r="P1" s="49"/>
      <c r="Q1" s="49"/>
      <c r="R1" s="138"/>
      <c r="S1" s="150"/>
    </row>
    <row r="2" spans="1:23" ht="18.75" x14ac:dyDescent="0.3">
      <c r="A2" s="145" t="s">
        <v>5</v>
      </c>
      <c r="B2" s="146" t="str">
        <f>'Design Review Top'!B2</f>
        <v>ABC-001_Board</v>
      </c>
      <c r="C2" s="146"/>
      <c r="D2" s="147"/>
      <c r="E2" s="147"/>
      <c r="F2" s="147"/>
      <c r="G2" s="147"/>
      <c r="H2" s="147"/>
      <c r="I2" s="147"/>
      <c r="J2" s="147"/>
      <c r="K2" s="148" t="s">
        <v>21</v>
      </c>
      <c r="L2" s="151">
        <f>'Design Review Top'!I3</f>
        <v>1.4</v>
      </c>
      <c r="M2" s="138"/>
      <c r="N2" s="138"/>
      <c r="O2" s="138"/>
      <c r="P2" s="138"/>
      <c r="Q2" s="138"/>
      <c r="R2" s="138"/>
      <c r="S2" s="150"/>
      <c r="T2" t="s">
        <v>134</v>
      </c>
    </row>
    <row r="3" spans="1:23" ht="15.75" x14ac:dyDescent="0.25">
      <c r="A3" s="214" t="s">
        <v>22</v>
      </c>
      <c r="B3" s="215">
        <f>'Design Review Top'!B3</f>
        <v>1</v>
      </c>
      <c r="C3" s="149"/>
      <c r="D3" s="147"/>
      <c r="E3" s="147"/>
      <c r="F3" s="147"/>
      <c r="G3" s="147"/>
      <c r="H3" s="147"/>
      <c r="I3" s="147"/>
      <c r="J3" s="147"/>
      <c r="K3" s="147"/>
      <c r="L3" s="147"/>
      <c r="M3" s="138"/>
      <c r="N3" s="138"/>
      <c r="O3" s="138"/>
      <c r="P3" s="138"/>
      <c r="Q3" s="138"/>
      <c r="R3" s="154"/>
      <c r="S3" s="150"/>
      <c r="T3" t="s">
        <v>135</v>
      </c>
      <c r="U3" t="s">
        <v>136</v>
      </c>
    </row>
    <row r="4" spans="1:23" ht="18.75" customHeight="1" x14ac:dyDescent="0.25">
      <c r="A4" s="249" t="s">
        <v>98</v>
      </c>
      <c r="B4" s="250"/>
      <c r="C4" s="250"/>
      <c r="D4" s="250"/>
      <c r="E4" s="250"/>
      <c r="F4" s="250"/>
      <c r="G4" s="250"/>
      <c r="H4" s="251"/>
      <c r="I4" s="243" t="s">
        <v>36</v>
      </c>
      <c r="J4" s="243"/>
      <c r="K4" s="243"/>
      <c r="L4" s="243"/>
      <c r="M4" s="243"/>
      <c r="N4" s="244"/>
      <c r="O4" s="245" t="s">
        <v>98</v>
      </c>
      <c r="P4" s="246"/>
      <c r="Q4" s="247" t="s">
        <v>36</v>
      </c>
      <c r="R4" s="248"/>
      <c r="S4" s="150"/>
      <c r="T4" t="s">
        <v>87</v>
      </c>
      <c r="U4" t="s">
        <v>137</v>
      </c>
    </row>
    <row r="5" spans="1:23" ht="45" x14ac:dyDescent="0.25">
      <c r="A5" s="155" t="s">
        <v>1</v>
      </c>
      <c r="B5" s="152" t="s">
        <v>6</v>
      </c>
      <c r="C5" s="152" t="s">
        <v>83</v>
      </c>
      <c r="D5" s="152" t="s">
        <v>89</v>
      </c>
      <c r="E5" s="152" t="s">
        <v>94</v>
      </c>
      <c r="F5" s="152" t="s">
        <v>93</v>
      </c>
      <c r="G5" s="152" t="s">
        <v>95</v>
      </c>
      <c r="H5" s="153" t="s">
        <v>96</v>
      </c>
      <c r="I5" s="170" t="s">
        <v>84</v>
      </c>
      <c r="J5" s="170" t="s">
        <v>85</v>
      </c>
      <c r="K5" s="170" t="s">
        <v>86</v>
      </c>
      <c r="L5" s="170" t="s">
        <v>4</v>
      </c>
      <c r="M5" s="170" t="s">
        <v>3</v>
      </c>
      <c r="N5" s="171" t="s">
        <v>8</v>
      </c>
      <c r="O5" s="172" t="s">
        <v>82</v>
      </c>
      <c r="P5" s="169" t="s">
        <v>88</v>
      </c>
      <c r="Q5" s="170" t="s">
        <v>90</v>
      </c>
      <c r="R5" s="171" t="s">
        <v>91</v>
      </c>
      <c r="S5" s="150"/>
    </row>
    <row r="6" spans="1:23" x14ac:dyDescent="0.25">
      <c r="A6" s="60">
        <v>1</v>
      </c>
      <c r="B6" s="2">
        <v>1</v>
      </c>
      <c r="C6" s="29"/>
      <c r="D6" s="29"/>
      <c r="E6" s="29"/>
      <c r="F6" s="29"/>
      <c r="G6" s="29"/>
      <c r="H6" s="11"/>
      <c r="I6" s="140"/>
      <c r="J6" s="230"/>
      <c r="K6" s="127"/>
      <c r="L6" s="11"/>
      <c r="M6" s="126"/>
      <c r="N6" s="30"/>
      <c r="O6" s="156"/>
      <c r="P6" s="30"/>
      <c r="Q6" s="140"/>
      <c r="R6" s="11"/>
      <c r="S6" s="150"/>
      <c r="T6" t="str">
        <f>IF(OR(Table1[[#This Row],[Database Pass/Fail]] = "Fail",Table1[[#This Row],[Symbol Pass/Fail]] = "Fail",Table1[[#This Row],[Footprint Pass/Fail]] = "Fail"), "Fail", "Pass")</f>
        <v>Pass</v>
      </c>
      <c r="U6" t="str">
        <f>IF(Table1[[#This Row],[Date Re-checked/Passed]] = "",T6,Q6)</f>
        <v>Pass</v>
      </c>
      <c r="V6" t="str">
        <f>IF(AND(Table1[[#This Row],[Part Num]]&lt;&gt;"",U6 = "Fail"), "Fail", "Pass")</f>
        <v>Pass</v>
      </c>
      <c r="W6">
        <f>IF(AND(Table1[[#This Row],[Part Num]]&lt;&gt;"",Table1[[#This Row],[Database Pass/Fail]]="",Table1[[#This Row],[Symbol Pass/Fail]]="",Table1[[#This Row],[Footprint Pass/Fail]]=""),1,0)</f>
        <v>1</v>
      </c>
    </row>
    <row r="7" spans="1:23" x14ac:dyDescent="0.25">
      <c r="A7" s="60">
        <f t="shared" ref="A7:A13" si="0">A6+1</f>
        <v>2</v>
      </c>
      <c r="B7" s="2">
        <v>2</v>
      </c>
      <c r="C7" s="29"/>
      <c r="D7" s="29"/>
      <c r="E7" s="29"/>
      <c r="F7" s="29"/>
      <c r="G7" s="29"/>
      <c r="H7" s="11"/>
      <c r="I7" s="140"/>
      <c r="J7" s="127"/>
      <c r="K7" s="127"/>
      <c r="L7" s="11"/>
      <c r="M7" s="126"/>
      <c r="N7" s="30"/>
      <c r="O7" s="156"/>
      <c r="P7" s="30"/>
      <c r="Q7" s="140"/>
      <c r="R7" s="1"/>
      <c r="S7" s="150"/>
      <c r="T7" t="str">
        <f>IF(OR(Table1[[#This Row],[Database Pass/Fail]] = "Fail",Table1[[#This Row],[Symbol Pass/Fail]] = "Fail",Table1[[#This Row],[Footprint Pass/Fail]] = "Fail"), "Fail", "Pass")</f>
        <v>Pass</v>
      </c>
      <c r="U7" t="str">
        <f>IF(Table1[[#This Row],[Date Re-checked/Passed]] = "",T7,Q7)</f>
        <v>Pass</v>
      </c>
      <c r="V7" t="str">
        <f>IF(AND(Table1[[#This Row],[Part Num]]&lt;&gt;"",U7 = "Fail"), "Fail", "Pass")</f>
        <v>Pass</v>
      </c>
      <c r="W7">
        <f>IF(AND(Table1[[#This Row],[Part Num]]&lt;&gt;"",Table1[[#This Row],[Database Pass/Fail]]="",Table1[[#This Row],[Symbol Pass/Fail]]="",Table1[[#This Row],[Footprint Pass/Fail]]=""),1,0)</f>
        <v>1</v>
      </c>
    </row>
    <row r="8" spans="1:23" x14ac:dyDescent="0.25">
      <c r="A8" s="60">
        <f t="shared" si="0"/>
        <v>3</v>
      </c>
      <c r="B8" s="2"/>
      <c r="C8" s="29"/>
      <c r="D8" s="29"/>
      <c r="E8" s="29"/>
      <c r="F8" s="29"/>
      <c r="G8" s="29"/>
      <c r="H8" s="11"/>
      <c r="I8" s="140"/>
      <c r="J8" s="127"/>
      <c r="K8" s="127"/>
      <c r="L8" s="11"/>
      <c r="M8" s="126"/>
      <c r="N8" s="30"/>
      <c r="O8" s="156"/>
      <c r="P8" s="30"/>
      <c r="Q8" s="140"/>
      <c r="R8" s="1"/>
      <c r="S8" s="150"/>
      <c r="T8" t="str">
        <f>IF(OR(Table1[[#This Row],[Database Pass/Fail]] = "Fail",Table1[[#This Row],[Symbol Pass/Fail]] = "Fail",Table1[[#This Row],[Footprint Pass/Fail]] = "Fail"), "Fail", "Pass")</f>
        <v>Pass</v>
      </c>
      <c r="U8" t="str">
        <f>IF(Table1[[#This Row],[Date Re-checked/Passed]] = "",T8,Q8)</f>
        <v>Pass</v>
      </c>
      <c r="V8" t="str">
        <f>IF(AND(Table1[[#This Row],[Part Num]]&lt;&gt;"",U8 = "Fail"), "Fail", "Pass")</f>
        <v>Pass</v>
      </c>
      <c r="W8">
        <f>IF(AND(Table1[[#This Row],[Part Num]]&lt;&gt;"",Table1[[#This Row],[Database Pass/Fail]]="",Table1[[#This Row],[Symbol Pass/Fail]]="",Table1[[#This Row],[Footprint Pass/Fail]]=""),1,0)</f>
        <v>0</v>
      </c>
    </row>
    <row r="9" spans="1:23" x14ac:dyDescent="0.25">
      <c r="A9" s="60">
        <f t="shared" si="0"/>
        <v>4</v>
      </c>
      <c r="B9" s="2"/>
      <c r="C9" s="29"/>
      <c r="D9" s="29"/>
      <c r="E9" s="29"/>
      <c r="F9" s="29"/>
      <c r="G9" s="29"/>
      <c r="H9" s="11"/>
      <c r="I9" s="140"/>
      <c r="J9" s="127"/>
      <c r="K9" s="127"/>
      <c r="L9" s="11"/>
      <c r="M9" s="126"/>
      <c r="N9" s="30"/>
      <c r="O9" s="156"/>
      <c r="P9" s="30"/>
      <c r="Q9" s="140"/>
      <c r="R9" s="1"/>
      <c r="S9" s="150"/>
      <c r="T9" t="str">
        <f>IF(OR(Table1[[#This Row],[Database Pass/Fail]] = "Fail",Table1[[#This Row],[Symbol Pass/Fail]] = "Fail",Table1[[#This Row],[Footprint Pass/Fail]] = "Fail"), "Fail", "Pass")</f>
        <v>Pass</v>
      </c>
      <c r="U9" t="str">
        <f>IF(Table1[[#This Row],[Date Re-checked/Passed]] = "",T9,Q9)</f>
        <v>Pass</v>
      </c>
      <c r="V9" t="str">
        <f>IF(AND(Table1[[#This Row],[Part Num]]&lt;&gt;"",U9 = "Fail"), "Fail", "Pass")</f>
        <v>Pass</v>
      </c>
      <c r="W9">
        <f>IF(AND(Table1[[#This Row],[Part Num]]&lt;&gt;"",Table1[[#This Row],[Database Pass/Fail]]="",Table1[[#This Row],[Symbol Pass/Fail]]="",Table1[[#This Row],[Footprint Pass/Fail]]=""),1,0)</f>
        <v>0</v>
      </c>
    </row>
    <row r="10" spans="1:23" x14ac:dyDescent="0.25">
      <c r="A10" s="60">
        <f t="shared" si="0"/>
        <v>5</v>
      </c>
      <c r="B10" s="2"/>
      <c r="C10" s="29"/>
      <c r="D10" s="29"/>
      <c r="E10" s="29"/>
      <c r="F10" s="29"/>
      <c r="G10" s="29"/>
      <c r="H10" s="11"/>
      <c r="I10" s="140"/>
      <c r="J10" s="127"/>
      <c r="K10" s="127"/>
      <c r="L10" s="11"/>
      <c r="M10" s="126"/>
      <c r="N10" s="30"/>
      <c r="O10" s="156"/>
      <c r="P10" s="30"/>
      <c r="Q10" s="140"/>
      <c r="R10" s="1"/>
      <c r="S10" s="150"/>
      <c r="T10" t="str">
        <f>IF(OR(Table1[[#This Row],[Database Pass/Fail]] = "Fail",Table1[[#This Row],[Symbol Pass/Fail]] = "Fail",Table1[[#This Row],[Footprint Pass/Fail]] = "Fail"), "Fail", "Pass")</f>
        <v>Pass</v>
      </c>
      <c r="U10" t="str">
        <f>IF(Table1[[#This Row],[Date Re-checked/Passed]] = "",T10,Q10)</f>
        <v>Pass</v>
      </c>
      <c r="V10" t="str">
        <f>IF(AND(Table1[[#This Row],[Part Num]]&lt;&gt;"",U10 = "Fail"), "Fail", "Pass")</f>
        <v>Pass</v>
      </c>
      <c r="W10">
        <f>IF(AND(Table1[[#This Row],[Part Num]]&lt;&gt;"",Table1[[#This Row],[Database Pass/Fail]]="",Table1[[#This Row],[Symbol Pass/Fail]]="",Table1[[#This Row],[Footprint Pass/Fail]]=""),1,0)</f>
        <v>0</v>
      </c>
    </row>
    <row r="11" spans="1:23" x14ac:dyDescent="0.25">
      <c r="A11" s="60">
        <f t="shared" si="0"/>
        <v>6</v>
      </c>
      <c r="B11" s="2"/>
      <c r="C11" s="29"/>
      <c r="D11" s="29"/>
      <c r="E11" s="29"/>
      <c r="F11" s="29"/>
      <c r="G11" s="29"/>
      <c r="H11" s="11"/>
      <c r="I11" s="140"/>
      <c r="J11" s="127"/>
      <c r="K11" s="127"/>
      <c r="L11" s="11"/>
      <c r="M11" s="126"/>
      <c r="N11" s="30"/>
      <c r="O11" s="156"/>
      <c r="P11" s="30"/>
      <c r="Q11" s="140"/>
      <c r="R11" s="1"/>
      <c r="S11" s="150"/>
      <c r="T11" t="str">
        <f>IF(OR(Table1[[#This Row],[Database Pass/Fail]] = "Fail",Table1[[#This Row],[Symbol Pass/Fail]] = "Fail",Table1[[#This Row],[Footprint Pass/Fail]] = "Fail"), "Fail", "Pass")</f>
        <v>Pass</v>
      </c>
      <c r="U11" t="str">
        <f>IF(Table1[[#This Row],[Date Re-checked/Passed]] = "",T11,Q11)</f>
        <v>Pass</v>
      </c>
      <c r="V11" t="str">
        <f>IF(AND(Table1[[#This Row],[Part Num]]&lt;&gt;"",U11 = "Fail"), "Fail", "Pass")</f>
        <v>Pass</v>
      </c>
      <c r="W11">
        <f>IF(AND(Table1[[#This Row],[Part Num]]&lt;&gt;"",Table1[[#This Row],[Database Pass/Fail]]="",Table1[[#This Row],[Symbol Pass/Fail]]="",Table1[[#This Row],[Footprint Pass/Fail]]=""),1,0)</f>
        <v>0</v>
      </c>
    </row>
    <row r="12" spans="1:23" x14ac:dyDescent="0.25">
      <c r="A12" s="60">
        <f t="shared" si="0"/>
        <v>7</v>
      </c>
      <c r="B12" s="2"/>
      <c r="C12" s="29"/>
      <c r="D12" s="29"/>
      <c r="E12" s="29"/>
      <c r="F12" s="29"/>
      <c r="G12" s="29"/>
      <c r="H12" s="11"/>
      <c r="I12" s="140"/>
      <c r="J12" s="127"/>
      <c r="K12" s="127"/>
      <c r="L12" s="11"/>
      <c r="M12" s="126"/>
      <c r="N12" s="30"/>
      <c r="O12" s="156"/>
      <c r="P12" s="30"/>
      <c r="Q12" s="140"/>
      <c r="R12" s="1"/>
      <c r="S12" s="150"/>
      <c r="T12" t="str">
        <f>IF(OR(Table1[[#This Row],[Database Pass/Fail]] = "Fail",Table1[[#This Row],[Symbol Pass/Fail]] = "Fail",Table1[[#This Row],[Footprint Pass/Fail]] = "Fail"), "Fail", "Pass")</f>
        <v>Pass</v>
      </c>
      <c r="U12" t="str">
        <f>IF(Table1[[#This Row],[Date Re-checked/Passed]] = "",T12,Q12)</f>
        <v>Pass</v>
      </c>
      <c r="V12" t="str">
        <f>IF(AND(Table1[[#This Row],[Part Num]]&lt;&gt;"",U12 = "Fail"), "Fail", "Pass")</f>
        <v>Pass</v>
      </c>
      <c r="W12">
        <f>IF(AND(Table1[[#This Row],[Part Num]]&lt;&gt;"",Table1[[#This Row],[Database Pass/Fail]]="",Table1[[#This Row],[Symbol Pass/Fail]]="",Table1[[#This Row],[Footprint Pass/Fail]]=""),1,0)</f>
        <v>0</v>
      </c>
    </row>
    <row r="13" spans="1:23" x14ac:dyDescent="0.25">
      <c r="A13" s="60">
        <f t="shared" si="0"/>
        <v>8</v>
      </c>
      <c r="B13" s="2"/>
      <c r="C13" s="29"/>
      <c r="D13" s="29"/>
      <c r="E13" s="29"/>
      <c r="F13" s="29"/>
      <c r="G13" s="29"/>
      <c r="H13" s="11"/>
      <c r="I13" s="140"/>
      <c r="J13" s="127"/>
      <c r="K13" s="127"/>
      <c r="L13" s="11"/>
      <c r="M13" s="126"/>
      <c r="N13" s="30"/>
      <c r="O13" s="156"/>
      <c r="P13" s="30"/>
      <c r="Q13" s="140"/>
      <c r="R13" s="1"/>
      <c r="S13" s="150"/>
      <c r="T13" t="str">
        <f>IF(OR(Table1[[#This Row],[Database Pass/Fail]] = "Fail",Table1[[#This Row],[Symbol Pass/Fail]] = "Fail",Table1[[#This Row],[Footprint Pass/Fail]] = "Fail"), "Fail", "Pass")</f>
        <v>Pass</v>
      </c>
      <c r="U13" t="str">
        <f>IF(Table1[[#This Row],[Date Re-checked/Passed]] = "",T13,Q13)</f>
        <v>Pass</v>
      </c>
      <c r="V13" t="str">
        <f>IF(AND(Table1[[#This Row],[Part Num]]&lt;&gt;"",U13 = "Fail"), "Fail", "Pass")</f>
        <v>Pass</v>
      </c>
      <c r="W13">
        <f>IF(AND(Table1[[#This Row],[Part Num]]&lt;&gt;"",Table1[[#This Row],[Database Pass/Fail]]="",Table1[[#This Row],[Symbol Pass/Fail]]="",Table1[[#This Row],[Footprint Pass/Fail]]=""),1,0)</f>
        <v>0</v>
      </c>
    </row>
    <row r="14" spans="1:23" x14ac:dyDescent="0.25">
      <c r="A14" s="60">
        <f>A13+1</f>
        <v>9</v>
      </c>
      <c r="B14" s="2"/>
      <c r="C14" s="29"/>
      <c r="D14" s="29"/>
      <c r="E14" s="29"/>
      <c r="F14" s="29"/>
      <c r="G14" s="29"/>
      <c r="H14" s="11"/>
      <c r="I14" s="140"/>
      <c r="J14" s="127"/>
      <c r="K14" s="127"/>
      <c r="L14" s="11"/>
      <c r="M14" s="126"/>
      <c r="N14" s="30"/>
      <c r="O14" s="156"/>
      <c r="P14" s="30"/>
      <c r="Q14" s="140"/>
      <c r="R14" s="1"/>
      <c r="S14" s="150"/>
      <c r="T14" t="str">
        <f>IF(OR(Table1[[#This Row],[Database Pass/Fail]] = "Fail",Table1[[#This Row],[Symbol Pass/Fail]] = "Fail",Table1[[#This Row],[Footprint Pass/Fail]] = "Fail"), "Fail", "Pass")</f>
        <v>Pass</v>
      </c>
      <c r="U14" t="str">
        <f>IF(Table1[[#This Row],[Date Re-checked/Passed]] = "",T14,Q14)</f>
        <v>Pass</v>
      </c>
      <c r="V14" t="str">
        <f>IF(AND(Table1[[#This Row],[Part Num]]&lt;&gt;"",U14 = "Fail"), "Fail", "Pass")</f>
        <v>Pass</v>
      </c>
      <c r="W14">
        <f>IF(AND(Table1[[#This Row],[Part Num]]&lt;&gt;"",Table1[[#This Row],[Database Pass/Fail]]="",Table1[[#This Row],[Symbol Pass/Fail]]="",Table1[[#This Row],[Footprint Pass/Fail]]=""),1,0)</f>
        <v>0</v>
      </c>
    </row>
    <row r="15" spans="1:23" x14ac:dyDescent="0.25">
      <c r="A15" s="60">
        <f t="shared" ref="A15:A78" si="1">A14+1</f>
        <v>10</v>
      </c>
      <c r="B15" s="2"/>
      <c r="C15" s="69"/>
      <c r="D15" s="29"/>
      <c r="E15" s="29"/>
      <c r="F15" s="29"/>
      <c r="G15" s="29"/>
      <c r="H15" s="11"/>
      <c r="I15" s="140"/>
      <c r="J15" s="127"/>
      <c r="K15" s="127"/>
      <c r="L15" s="11"/>
      <c r="M15" s="126"/>
      <c r="N15" s="30"/>
      <c r="O15" s="156"/>
      <c r="P15" s="30"/>
      <c r="Q15" s="140"/>
      <c r="R15" s="1"/>
      <c r="S15" s="150"/>
      <c r="T15" t="str">
        <f>IF(OR(Table1[[#This Row],[Database Pass/Fail]] = "Fail",Table1[[#This Row],[Symbol Pass/Fail]] = "Fail",Table1[[#This Row],[Footprint Pass/Fail]] = "Fail"), "Fail", "Pass")</f>
        <v>Pass</v>
      </c>
      <c r="U15" t="str">
        <f>IF(Table1[[#This Row],[Date Re-checked/Passed]] = "",T15,Q15)</f>
        <v>Pass</v>
      </c>
      <c r="V15" t="str">
        <f>IF(AND(Table1[[#This Row],[Part Num]]&lt;&gt;"",U15 = "Fail"), "Fail", "Pass")</f>
        <v>Pass</v>
      </c>
      <c r="W15">
        <f>IF(AND(Table1[[#This Row],[Part Num]]&lt;&gt;"",Table1[[#This Row],[Database Pass/Fail]]="",Table1[[#This Row],[Symbol Pass/Fail]]="",Table1[[#This Row],[Footprint Pass/Fail]]=""),1,0)</f>
        <v>0</v>
      </c>
    </row>
    <row r="16" spans="1:23" x14ac:dyDescent="0.25">
      <c r="A16" s="60">
        <f t="shared" si="1"/>
        <v>11</v>
      </c>
      <c r="B16" s="2"/>
      <c r="C16" s="29"/>
      <c r="D16" s="29"/>
      <c r="E16" s="29"/>
      <c r="F16" s="29"/>
      <c r="G16" s="29"/>
      <c r="H16" s="11"/>
      <c r="I16" s="140"/>
      <c r="J16" s="127"/>
      <c r="K16" s="127"/>
      <c r="L16" s="11"/>
      <c r="M16" s="126"/>
      <c r="N16" s="30"/>
      <c r="O16" s="156"/>
      <c r="P16" s="30"/>
      <c r="Q16" s="140"/>
      <c r="R16" s="1"/>
      <c r="S16" s="150"/>
      <c r="T16" t="str">
        <f>IF(OR(Table1[[#This Row],[Database Pass/Fail]] = "Fail",Table1[[#This Row],[Symbol Pass/Fail]] = "Fail",Table1[[#This Row],[Footprint Pass/Fail]] = "Fail"), "Fail", "Pass")</f>
        <v>Pass</v>
      </c>
      <c r="U16" t="str">
        <f>IF(Table1[[#This Row],[Date Re-checked/Passed]] = "",T16,Q16)</f>
        <v>Pass</v>
      </c>
      <c r="V16" t="str">
        <f>IF(AND(Table1[[#This Row],[Part Num]]&lt;&gt;"",U16 = "Fail"), "Fail", "Pass")</f>
        <v>Pass</v>
      </c>
      <c r="W16">
        <f>IF(AND(Table1[[#This Row],[Part Num]]&lt;&gt;"",Table1[[#This Row],[Database Pass/Fail]]="",Table1[[#This Row],[Symbol Pass/Fail]]="",Table1[[#This Row],[Footprint Pass/Fail]]=""),1,0)</f>
        <v>0</v>
      </c>
    </row>
    <row r="17" spans="1:23" x14ac:dyDescent="0.25">
      <c r="A17" s="60">
        <f t="shared" si="1"/>
        <v>12</v>
      </c>
      <c r="B17" s="2"/>
      <c r="C17" s="29"/>
      <c r="D17" s="29"/>
      <c r="E17" s="29"/>
      <c r="F17" s="29"/>
      <c r="G17" s="29"/>
      <c r="H17" s="11"/>
      <c r="I17" s="140"/>
      <c r="J17" s="127"/>
      <c r="K17" s="127"/>
      <c r="L17" s="11"/>
      <c r="M17" s="126"/>
      <c r="N17" s="30"/>
      <c r="O17" s="156"/>
      <c r="P17" s="30"/>
      <c r="Q17" s="140"/>
      <c r="R17" s="1"/>
      <c r="S17" s="150"/>
      <c r="T17" t="str">
        <f>IF(OR(Table1[[#This Row],[Database Pass/Fail]] = "Fail",Table1[[#This Row],[Symbol Pass/Fail]] = "Fail",Table1[[#This Row],[Footprint Pass/Fail]] = "Fail"), "Fail", "Pass")</f>
        <v>Pass</v>
      </c>
      <c r="U17" t="str">
        <f>IF(Table1[[#This Row],[Date Re-checked/Passed]] = "",T17,Q17)</f>
        <v>Pass</v>
      </c>
      <c r="V17" t="str">
        <f>IF(AND(Table1[[#This Row],[Part Num]]&lt;&gt;"",U17 = "Fail"), "Fail", "Pass")</f>
        <v>Pass</v>
      </c>
      <c r="W17">
        <f>IF(AND(Table1[[#This Row],[Part Num]]&lt;&gt;"",Table1[[#This Row],[Database Pass/Fail]]="",Table1[[#This Row],[Symbol Pass/Fail]]="",Table1[[#This Row],[Footprint Pass/Fail]]=""),1,0)</f>
        <v>0</v>
      </c>
    </row>
    <row r="18" spans="1:23" x14ac:dyDescent="0.25">
      <c r="A18" s="60">
        <f t="shared" si="1"/>
        <v>13</v>
      </c>
      <c r="B18" s="2"/>
      <c r="C18" s="29"/>
      <c r="D18" s="29"/>
      <c r="E18" s="29"/>
      <c r="F18" s="29"/>
      <c r="G18" s="29"/>
      <c r="H18" s="11"/>
      <c r="I18" s="140"/>
      <c r="J18" s="127"/>
      <c r="K18" s="127"/>
      <c r="L18" s="11"/>
      <c r="M18" s="126"/>
      <c r="N18" s="30"/>
      <c r="O18" s="156"/>
      <c r="P18" s="84"/>
      <c r="Q18" s="140"/>
      <c r="R18" s="1"/>
      <c r="S18" s="150"/>
      <c r="T18" t="str">
        <f>IF(OR(Table1[[#This Row],[Database Pass/Fail]] = "Fail",Table1[[#This Row],[Symbol Pass/Fail]] = "Fail",Table1[[#This Row],[Footprint Pass/Fail]] = "Fail"), "Fail", "Pass")</f>
        <v>Pass</v>
      </c>
      <c r="U18" t="str">
        <f>IF(Table1[[#This Row],[Date Re-checked/Passed]] = "",T18,Q18)</f>
        <v>Pass</v>
      </c>
      <c r="V18" t="str">
        <f>IF(AND(Table1[[#This Row],[Part Num]]&lt;&gt;"",U18 = "Fail"), "Fail", "Pass")</f>
        <v>Pass</v>
      </c>
      <c r="W18">
        <f>IF(AND(Table1[[#This Row],[Part Num]]&lt;&gt;"",Table1[[#This Row],[Database Pass/Fail]]="",Table1[[#This Row],[Symbol Pass/Fail]]="",Table1[[#This Row],[Footprint Pass/Fail]]=""),1,0)</f>
        <v>0</v>
      </c>
    </row>
    <row r="19" spans="1:23" x14ac:dyDescent="0.25">
      <c r="A19" s="60">
        <f t="shared" si="1"/>
        <v>14</v>
      </c>
      <c r="B19" s="2"/>
      <c r="C19" s="29"/>
      <c r="D19" s="29"/>
      <c r="E19" s="29"/>
      <c r="F19" s="29"/>
      <c r="G19" s="29"/>
      <c r="H19" s="11"/>
      <c r="I19" s="140"/>
      <c r="J19" s="127"/>
      <c r="K19" s="127"/>
      <c r="L19" s="11"/>
      <c r="M19" s="126"/>
      <c r="N19" s="30"/>
      <c r="O19" s="156"/>
      <c r="P19" s="84"/>
      <c r="Q19" s="140"/>
      <c r="R19" s="1"/>
      <c r="S19" s="150"/>
      <c r="T19" t="str">
        <f>IF(OR(Table1[[#This Row],[Database Pass/Fail]] = "Fail",Table1[[#This Row],[Symbol Pass/Fail]] = "Fail",Table1[[#This Row],[Footprint Pass/Fail]] = "Fail"), "Fail", "Pass")</f>
        <v>Pass</v>
      </c>
      <c r="U19" t="str">
        <f>IF(Table1[[#This Row],[Date Re-checked/Passed]] = "",T19,Q19)</f>
        <v>Pass</v>
      </c>
      <c r="V19" t="str">
        <f>IF(AND(Table1[[#This Row],[Part Num]]&lt;&gt;"",U19 = "Fail"), "Fail", "Pass")</f>
        <v>Pass</v>
      </c>
      <c r="W19">
        <f>IF(AND(Table1[[#This Row],[Part Num]]&lt;&gt;"",Table1[[#This Row],[Database Pass/Fail]]="",Table1[[#This Row],[Symbol Pass/Fail]]="",Table1[[#This Row],[Footprint Pass/Fail]]=""),1,0)</f>
        <v>0</v>
      </c>
    </row>
    <row r="20" spans="1:23" x14ac:dyDescent="0.25">
      <c r="A20" s="60">
        <f t="shared" si="1"/>
        <v>15</v>
      </c>
      <c r="B20" s="2"/>
      <c r="C20" s="29"/>
      <c r="D20" s="29"/>
      <c r="E20" s="29"/>
      <c r="F20" s="29"/>
      <c r="G20" s="29"/>
      <c r="H20" s="11"/>
      <c r="I20" s="140"/>
      <c r="J20" s="127"/>
      <c r="K20" s="127"/>
      <c r="L20" s="11"/>
      <c r="M20" s="126"/>
      <c r="N20" s="30"/>
      <c r="O20" s="156"/>
      <c r="P20" s="84"/>
      <c r="Q20" s="140"/>
      <c r="R20" s="1"/>
      <c r="S20" s="150"/>
      <c r="T20" t="str">
        <f>IF(OR(Table1[[#This Row],[Database Pass/Fail]] = "Fail",Table1[[#This Row],[Symbol Pass/Fail]] = "Fail",Table1[[#This Row],[Footprint Pass/Fail]] = "Fail"), "Fail", "Pass")</f>
        <v>Pass</v>
      </c>
      <c r="U20" t="str">
        <f>IF(Table1[[#This Row],[Date Re-checked/Passed]] = "",T20,Q20)</f>
        <v>Pass</v>
      </c>
      <c r="V20" t="str">
        <f>IF(AND(Table1[[#This Row],[Part Num]]&lt;&gt;"",U20 = "Fail"), "Fail", "Pass")</f>
        <v>Pass</v>
      </c>
      <c r="W20">
        <f>IF(AND(Table1[[#This Row],[Part Num]]&lt;&gt;"",Table1[[#This Row],[Database Pass/Fail]]="",Table1[[#This Row],[Symbol Pass/Fail]]="",Table1[[#This Row],[Footprint Pass/Fail]]=""),1,0)</f>
        <v>0</v>
      </c>
    </row>
    <row r="21" spans="1:23" x14ac:dyDescent="0.25">
      <c r="A21" s="60">
        <f t="shared" si="1"/>
        <v>16</v>
      </c>
      <c r="B21" s="2"/>
      <c r="C21" s="29"/>
      <c r="D21" s="29"/>
      <c r="E21" s="29"/>
      <c r="F21" s="29"/>
      <c r="G21" s="29"/>
      <c r="H21" s="11"/>
      <c r="I21" s="140"/>
      <c r="J21" s="127"/>
      <c r="K21" s="127"/>
      <c r="L21" s="11"/>
      <c r="M21" s="126"/>
      <c r="N21" s="30"/>
      <c r="O21" s="156"/>
      <c r="P21" s="84"/>
      <c r="Q21" s="140"/>
      <c r="R21" s="1"/>
      <c r="S21" s="150"/>
      <c r="T21" t="str">
        <f>IF(OR(Table1[[#This Row],[Database Pass/Fail]] = "Fail",Table1[[#This Row],[Symbol Pass/Fail]] = "Fail",Table1[[#This Row],[Footprint Pass/Fail]] = "Fail"), "Fail", "Pass")</f>
        <v>Pass</v>
      </c>
      <c r="U21" t="str">
        <f>IF(Table1[[#This Row],[Date Re-checked/Passed]] = "",T21,Q21)</f>
        <v>Pass</v>
      </c>
      <c r="V21" t="str">
        <f>IF(AND(Table1[[#This Row],[Part Num]]&lt;&gt;"",U21 = "Fail"), "Fail", "Pass")</f>
        <v>Pass</v>
      </c>
      <c r="W21">
        <f>IF(AND(Table1[[#This Row],[Part Num]]&lt;&gt;"",Table1[[#This Row],[Database Pass/Fail]]="",Table1[[#This Row],[Symbol Pass/Fail]]="",Table1[[#This Row],[Footprint Pass/Fail]]=""),1,0)</f>
        <v>0</v>
      </c>
    </row>
    <row r="22" spans="1:23" x14ac:dyDescent="0.25">
      <c r="A22" s="60">
        <f t="shared" si="1"/>
        <v>17</v>
      </c>
      <c r="B22" s="2"/>
      <c r="C22" s="29"/>
      <c r="D22" s="29"/>
      <c r="E22" s="29"/>
      <c r="F22" s="29"/>
      <c r="G22" s="29"/>
      <c r="H22" s="11"/>
      <c r="I22" s="140"/>
      <c r="J22" s="127"/>
      <c r="K22" s="127"/>
      <c r="L22" s="11"/>
      <c r="M22" s="126"/>
      <c r="N22" s="30"/>
      <c r="O22" s="156"/>
      <c r="P22" s="84"/>
      <c r="Q22" s="140"/>
      <c r="R22" s="1"/>
      <c r="S22" s="150"/>
      <c r="T22" t="str">
        <f>IF(OR(Table1[[#This Row],[Database Pass/Fail]] = "Fail",Table1[[#This Row],[Symbol Pass/Fail]] = "Fail",Table1[[#This Row],[Footprint Pass/Fail]] = "Fail"), "Fail", "Pass")</f>
        <v>Pass</v>
      </c>
      <c r="U22" t="str">
        <f>IF(Table1[[#This Row],[Date Re-checked/Passed]] = "",T22,Q22)</f>
        <v>Pass</v>
      </c>
      <c r="V22" t="str">
        <f>IF(AND(Table1[[#This Row],[Part Num]]&lt;&gt;"",U22 = "Fail"), "Fail", "Pass")</f>
        <v>Pass</v>
      </c>
      <c r="W22">
        <f>IF(AND(Table1[[#This Row],[Part Num]]&lt;&gt;"",Table1[[#This Row],[Database Pass/Fail]]="",Table1[[#This Row],[Symbol Pass/Fail]]="",Table1[[#This Row],[Footprint Pass/Fail]]=""),1,0)</f>
        <v>0</v>
      </c>
    </row>
    <row r="23" spans="1:23" x14ac:dyDescent="0.25">
      <c r="A23" s="60">
        <f t="shared" si="1"/>
        <v>18</v>
      </c>
      <c r="B23" s="2"/>
      <c r="C23" s="29"/>
      <c r="D23" s="29"/>
      <c r="E23" s="29"/>
      <c r="F23" s="29"/>
      <c r="G23" s="29"/>
      <c r="H23" s="11"/>
      <c r="I23" s="140"/>
      <c r="J23" s="127"/>
      <c r="K23" s="127"/>
      <c r="L23" s="11"/>
      <c r="M23" s="126"/>
      <c r="N23" s="30"/>
      <c r="O23" s="156"/>
      <c r="P23" s="84"/>
      <c r="Q23" s="140"/>
      <c r="R23" s="1"/>
      <c r="S23" s="150"/>
      <c r="T23" t="str">
        <f>IF(OR(Table1[[#This Row],[Database Pass/Fail]] = "Fail",Table1[[#This Row],[Symbol Pass/Fail]] = "Fail",Table1[[#This Row],[Footprint Pass/Fail]] = "Fail"), "Fail", "Pass")</f>
        <v>Pass</v>
      </c>
      <c r="U23" t="str">
        <f>IF(Table1[[#This Row],[Date Re-checked/Passed]] = "",T23,Q23)</f>
        <v>Pass</v>
      </c>
      <c r="V23" t="str">
        <f>IF(AND(Table1[[#This Row],[Part Num]]&lt;&gt;"",U23 = "Fail"), "Fail", "Pass")</f>
        <v>Pass</v>
      </c>
      <c r="W23">
        <f>IF(AND(Table1[[#This Row],[Part Num]]&lt;&gt;"",Table1[[#This Row],[Database Pass/Fail]]="",Table1[[#This Row],[Symbol Pass/Fail]]="",Table1[[#This Row],[Footprint Pass/Fail]]=""),1,0)</f>
        <v>0</v>
      </c>
    </row>
    <row r="24" spans="1:23" x14ac:dyDescent="0.25">
      <c r="A24" s="60">
        <f t="shared" si="1"/>
        <v>19</v>
      </c>
      <c r="B24" s="2"/>
      <c r="C24" s="29"/>
      <c r="D24" s="29"/>
      <c r="E24" s="29"/>
      <c r="F24" s="29"/>
      <c r="G24" s="29"/>
      <c r="H24" s="1"/>
      <c r="I24" s="140"/>
      <c r="J24" s="127"/>
      <c r="K24" s="127"/>
      <c r="L24" s="11"/>
      <c r="M24" s="126"/>
      <c r="N24" s="30"/>
      <c r="O24" s="156"/>
      <c r="P24" s="84"/>
      <c r="Q24" s="140"/>
      <c r="R24" s="1"/>
      <c r="S24" s="150"/>
      <c r="T24" t="str">
        <f>IF(OR(Table1[[#This Row],[Database Pass/Fail]] = "Fail",Table1[[#This Row],[Symbol Pass/Fail]] = "Fail",Table1[[#This Row],[Footprint Pass/Fail]] = "Fail"), "Fail", "Pass")</f>
        <v>Pass</v>
      </c>
      <c r="U24" t="str">
        <f>IF(Table1[[#This Row],[Date Re-checked/Passed]] = "",T24,Q24)</f>
        <v>Pass</v>
      </c>
      <c r="V24" t="str">
        <f>IF(AND(Table1[[#This Row],[Part Num]]&lt;&gt;"",U24 = "Fail"), "Fail", "Pass")</f>
        <v>Pass</v>
      </c>
      <c r="W24">
        <f>IF(AND(Table1[[#This Row],[Part Num]]&lt;&gt;"",Table1[[#This Row],[Database Pass/Fail]]="",Table1[[#This Row],[Symbol Pass/Fail]]="",Table1[[#This Row],[Footprint Pass/Fail]]=""),1,0)</f>
        <v>0</v>
      </c>
    </row>
    <row r="25" spans="1:23" x14ac:dyDescent="0.25">
      <c r="A25" s="60">
        <f t="shared" si="1"/>
        <v>20</v>
      </c>
      <c r="B25" s="2"/>
      <c r="C25" s="29"/>
      <c r="D25" s="29"/>
      <c r="E25" s="29"/>
      <c r="F25" s="29"/>
      <c r="G25" s="29"/>
      <c r="H25" s="1"/>
      <c r="I25" s="140"/>
      <c r="J25" s="127"/>
      <c r="K25" s="127"/>
      <c r="L25" s="11"/>
      <c r="M25" s="126"/>
      <c r="N25" s="131"/>
      <c r="O25" s="157"/>
      <c r="P25" s="84"/>
      <c r="Q25" s="140"/>
      <c r="R25" s="1"/>
      <c r="S25" s="150"/>
      <c r="T25" t="str">
        <f>IF(OR(Table1[[#This Row],[Database Pass/Fail]] = "Fail",Table1[[#This Row],[Symbol Pass/Fail]] = "Fail",Table1[[#This Row],[Footprint Pass/Fail]] = "Fail"), "Fail", "Pass")</f>
        <v>Pass</v>
      </c>
      <c r="U25" t="str">
        <f>IF(Table1[[#This Row],[Date Re-checked/Passed]] = "",T25,Q25)</f>
        <v>Pass</v>
      </c>
      <c r="V25" t="str">
        <f>IF(AND(Table1[[#This Row],[Part Num]]&lt;&gt;"",U25 = "Fail"), "Fail", "Pass")</f>
        <v>Pass</v>
      </c>
      <c r="W25">
        <f>IF(AND(Table1[[#This Row],[Part Num]]&lt;&gt;"",Table1[[#This Row],[Database Pass/Fail]]="",Table1[[#This Row],[Symbol Pass/Fail]]="",Table1[[#This Row],[Footprint Pass/Fail]]=""),1,0)</f>
        <v>0</v>
      </c>
    </row>
    <row r="26" spans="1:23" x14ac:dyDescent="0.25">
      <c r="A26" s="60">
        <f t="shared" si="1"/>
        <v>21</v>
      </c>
      <c r="B26" s="2"/>
      <c r="C26" s="29"/>
      <c r="D26" s="29"/>
      <c r="E26" s="29"/>
      <c r="F26" s="29"/>
      <c r="G26" s="29"/>
      <c r="H26" s="1"/>
      <c r="I26" s="140"/>
      <c r="J26" s="127"/>
      <c r="K26" s="127"/>
      <c r="L26" s="11"/>
      <c r="M26" s="126"/>
      <c r="N26" s="30"/>
      <c r="O26" s="156"/>
      <c r="P26" s="84"/>
      <c r="Q26" s="140"/>
      <c r="R26" s="1"/>
      <c r="S26" s="150"/>
      <c r="T26" t="str">
        <f>IF(OR(Table1[[#This Row],[Database Pass/Fail]] = "Fail",Table1[[#This Row],[Symbol Pass/Fail]] = "Fail",Table1[[#This Row],[Footprint Pass/Fail]] = "Fail"), "Fail", "Pass")</f>
        <v>Pass</v>
      </c>
      <c r="U26" t="str">
        <f>IF(Table1[[#This Row],[Date Re-checked/Passed]] = "",T26,Q26)</f>
        <v>Pass</v>
      </c>
      <c r="V26" t="str">
        <f>IF(AND(Table1[[#This Row],[Part Num]]&lt;&gt;"",U26 = "Fail"), "Fail", "Pass")</f>
        <v>Pass</v>
      </c>
      <c r="W26">
        <f>IF(AND(Table1[[#This Row],[Part Num]]&lt;&gt;"",Table1[[#This Row],[Database Pass/Fail]]="",Table1[[#This Row],[Symbol Pass/Fail]]="",Table1[[#This Row],[Footprint Pass/Fail]]=""),1,0)</f>
        <v>0</v>
      </c>
    </row>
    <row r="27" spans="1:23" x14ac:dyDescent="0.25">
      <c r="A27" s="60">
        <f t="shared" si="1"/>
        <v>22</v>
      </c>
      <c r="B27" s="2"/>
      <c r="C27" s="29"/>
      <c r="D27" s="29"/>
      <c r="E27" s="29"/>
      <c r="F27" s="29"/>
      <c r="G27" s="29"/>
      <c r="H27" s="1"/>
      <c r="I27" s="140"/>
      <c r="J27" s="127"/>
      <c r="K27" s="127"/>
      <c r="L27" s="11"/>
      <c r="M27" s="126"/>
      <c r="N27" s="30"/>
      <c r="O27" s="156"/>
      <c r="P27" s="84"/>
      <c r="Q27" s="140"/>
      <c r="R27" s="1"/>
      <c r="S27" s="150"/>
      <c r="T27" t="str">
        <f>IF(OR(Table1[[#This Row],[Database Pass/Fail]] = "Fail",Table1[[#This Row],[Symbol Pass/Fail]] = "Fail",Table1[[#This Row],[Footprint Pass/Fail]] = "Fail"), "Fail", "Pass")</f>
        <v>Pass</v>
      </c>
      <c r="U27" t="str">
        <f>IF(Table1[[#This Row],[Date Re-checked/Passed]] = "",T27,Q27)</f>
        <v>Pass</v>
      </c>
      <c r="V27" t="str">
        <f>IF(AND(Table1[[#This Row],[Part Num]]&lt;&gt;"",U27 = "Fail"), "Fail", "Pass")</f>
        <v>Pass</v>
      </c>
      <c r="W27">
        <f>IF(AND(Table1[[#This Row],[Part Num]]&lt;&gt;"",Table1[[#This Row],[Database Pass/Fail]]="",Table1[[#This Row],[Symbol Pass/Fail]]="",Table1[[#This Row],[Footprint Pass/Fail]]=""),1,0)</f>
        <v>0</v>
      </c>
    </row>
    <row r="28" spans="1:23" x14ac:dyDescent="0.25">
      <c r="A28" s="60">
        <f t="shared" si="1"/>
        <v>23</v>
      </c>
      <c r="B28" s="2"/>
      <c r="C28" s="69"/>
      <c r="D28" s="29"/>
      <c r="E28" s="29"/>
      <c r="F28" s="29"/>
      <c r="G28" s="29"/>
      <c r="H28" s="1"/>
      <c r="I28" s="140"/>
      <c r="J28" s="127"/>
      <c r="K28" s="127"/>
      <c r="L28" s="11"/>
      <c r="M28" s="126"/>
      <c r="N28" s="30"/>
      <c r="O28" s="156"/>
      <c r="P28" s="84"/>
      <c r="Q28" s="140"/>
      <c r="R28" s="1"/>
      <c r="S28" s="150"/>
      <c r="T28" t="str">
        <f>IF(OR(Table1[[#This Row],[Database Pass/Fail]] = "Fail",Table1[[#This Row],[Symbol Pass/Fail]] = "Fail",Table1[[#This Row],[Footprint Pass/Fail]] = "Fail"), "Fail", "Pass")</f>
        <v>Pass</v>
      </c>
      <c r="U28" t="str">
        <f>IF(Table1[[#This Row],[Date Re-checked/Passed]] = "",T28,Q28)</f>
        <v>Pass</v>
      </c>
      <c r="V28" t="str">
        <f>IF(AND(Table1[[#This Row],[Part Num]]&lt;&gt;"",U28 = "Fail"), "Fail", "Pass")</f>
        <v>Pass</v>
      </c>
      <c r="W28">
        <f>IF(AND(Table1[[#This Row],[Part Num]]&lt;&gt;"",Table1[[#This Row],[Database Pass/Fail]]="",Table1[[#This Row],[Symbol Pass/Fail]]="",Table1[[#This Row],[Footprint Pass/Fail]]=""),1,0)</f>
        <v>0</v>
      </c>
    </row>
    <row r="29" spans="1:23" x14ac:dyDescent="0.25">
      <c r="A29" s="60">
        <f t="shared" si="1"/>
        <v>24</v>
      </c>
      <c r="B29" s="2"/>
      <c r="C29" s="69"/>
      <c r="D29" s="29"/>
      <c r="E29" s="29"/>
      <c r="F29" s="29"/>
      <c r="G29" s="29"/>
      <c r="H29" s="1"/>
      <c r="I29" s="140"/>
      <c r="J29" s="127"/>
      <c r="K29" s="127"/>
      <c r="L29" s="11"/>
      <c r="M29" s="126"/>
      <c r="N29" s="30"/>
      <c r="O29" s="156"/>
      <c r="P29" s="84"/>
      <c r="Q29" s="140"/>
      <c r="R29" s="1"/>
      <c r="S29" s="150"/>
      <c r="T29" t="str">
        <f>IF(OR(Table1[[#This Row],[Database Pass/Fail]] = "Fail",Table1[[#This Row],[Symbol Pass/Fail]] = "Fail",Table1[[#This Row],[Footprint Pass/Fail]] = "Fail"), "Fail", "Pass")</f>
        <v>Pass</v>
      </c>
      <c r="U29" t="str">
        <f>IF(Table1[[#This Row],[Date Re-checked/Passed]] = "",T29,Q29)</f>
        <v>Pass</v>
      </c>
      <c r="V29" t="str">
        <f>IF(AND(Table1[[#This Row],[Part Num]]&lt;&gt;"",U29 = "Fail"), "Fail", "Pass")</f>
        <v>Pass</v>
      </c>
      <c r="W29">
        <f>IF(AND(Table1[[#This Row],[Part Num]]&lt;&gt;"",Table1[[#This Row],[Database Pass/Fail]]="",Table1[[#This Row],[Symbol Pass/Fail]]="",Table1[[#This Row],[Footprint Pass/Fail]]=""),1,0)</f>
        <v>0</v>
      </c>
    </row>
    <row r="30" spans="1:23" x14ac:dyDescent="0.25">
      <c r="A30" s="60">
        <f t="shared" si="1"/>
        <v>25</v>
      </c>
      <c r="B30" s="2"/>
      <c r="C30" s="69"/>
      <c r="D30" s="29"/>
      <c r="E30" s="29"/>
      <c r="F30" s="29"/>
      <c r="G30" s="29"/>
      <c r="I30" s="140"/>
      <c r="J30" s="127"/>
      <c r="K30" s="127"/>
      <c r="L30" s="11"/>
      <c r="M30" s="126"/>
      <c r="N30" s="141"/>
      <c r="O30" s="158"/>
      <c r="P30" s="84"/>
      <c r="Q30" s="140"/>
      <c r="R30" s="1"/>
      <c r="S30" s="150"/>
      <c r="T30" t="str">
        <f>IF(OR(Table1[[#This Row],[Database Pass/Fail]] = "Fail",Table1[[#This Row],[Symbol Pass/Fail]] = "Fail",Table1[[#This Row],[Footprint Pass/Fail]] = "Fail"), "Fail", "Pass")</f>
        <v>Pass</v>
      </c>
      <c r="U30" t="str">
        <f>IF(Table1[[#This Row],[Date Re-checked/Passed]] = "",T30,Q30)</f>
        <v>Pass</v>
      </c>
      <c r="V30" t="str">
        <f>IF(AND(Table1[[#This Row],[Part Num]]&lt;&gt;"",U30 = "Fail"), "Fail", "Pass")</f>
        <v>Pass</v>
      </c>
      <c r="W30">
        <f>IF(AND(Table1[[#This Row],[Part Num]]&lt;&gt;"",Table1[[#This Row],[Database Pass/Fail]]="",Table1[[#This Row],[Symbol Pass/Fail]]="",Table1[[#This Row],[Footprint Pass/Fail]]=""),1,0)</f>
        <v>0</v>
      </c>
    </row>
    <row r="31" spans="1:23" x14ac:dyDescent="0.25">
      <c r="A31" s="60">
        <f t="shared" si="1"/>
        <v>26</v>
      </c>
      <c r="B31" s="2"/>
      <c r="C31" s="69"/>
      <c r="D31" s="29"/>
      <c r="E31" s="29"/>
      <c r="F31" s="29"/>
      <c r="G31" s="29"/>
      <c r="I31" s="140"/>
      <c r="J31" s="127"/>
      <c r="K31" s="127"/>
      <c r="L31" s="11"/>
      <c r="M31" s="126"/>
      <c r="N31" s="141"/>
      <c r="O31" s="158"/>
      <c r="P31" s="84"/>
      <c r="Q31" s="140"/>
      <c r="R31" s="1"/>
      <c r="S31" s="150"/>
      <c r="T31" t="str">
        <f>IF(OR(Table1[[#This Row],[Database Pass/Fail]] = "Fail",Table1[[#This Row],[Symbol Pass/Fail]] = "Fail",Table1[[#This Row],[Footprint Pass/Fail]] = "Fail"), "Fail", "Pass")</f>
        <v>Pass</v>
      </c>
      <c r="U31" t="str">
        <f>IF(Table1[[#This Row],[Date Re-checked/Passed]] = "",T31,Q31)</f>
        <v>Pass</v>
      </c>
      <c r="V31" t="str">
        <f>IF(AND(Table1[[#This Row],[Part Num]]&lt;&gt;"",U31 = "Fail"), "Fail", "Pass")</f>
        <v>Pass</v>
      </c>
      <c r="W31">
        <f>IF(AND(Table1[[#This Row],[Part Num]]&lt;&gt;"",Table1[[#This Row],[Database Pass/Fail]]="",Table1[[#This Row],[Symbol Pass/Fail]]="",Table1[[#This Row],[Footprint Pass/Fail]]=""),1,0)</f>
        <v>0</v>
      </c>
    </row>
    <row r="32" spans="1:23" x14ac:dyDescent="0.25">
      <c r="A32" s="60">
        <f t="shared" si="1"/>
        <v>27</v>
      </c>
      <c r="B32" s="2"/>
      <c r="C32" s="69"/>
      <c r="D32" s="29"/>
      <c r="E32" s="29"/>
      <c r="F32" s="29"/>
      <c r="G32" s="29"/>
      <c r="I32" s="140"/>
      <c r="J32" s="127"/>
      <c r="K32" s="127"/>
      <c r="L32" s="11"/>
      <c r="M32" s="126"/>
      <c r="N32" s="141"/>
      <c r="O32" s="158"/>
      <c r="P32" s="84"/>
      <c r="Q32" s="140"/>
      <c r="R32" s="1"/>
      <c r="S32" s="150"/>
      <c r="T32" t="str">
        <f>IF(OR(Table1[[#This Row],[Database Pass/Fail]] = "Fail",Table1[[#This Row],[Symbol Pass/Fail]] = "Fail",Table1[[#This Row],[Footprint Pass/Fail]] = "Fail"), "Fail", "Pass")</f>
        <v>Pass</v>
      </c>
      <c r="U32" t="str">
        <f>IF(Table1[[#This Row],[Date Re-checked/Passed]] = "",T32,Q32)</f>
        <v>Pass</v>
      </c>
      <c r="V32" t="str">
        <f>IF(AND(Table1[[#This Row],[Part Num]]&lt;&gt;"",U32 = "Fail"), "Fail", "Pass")</f>
        <v>Pass</v>
      </c>
      <c r="W32">
        <f>IF(AND(Table1[[#This Row],[Part Num]]&lt;&gt;"",Table1[[#This Row],[Database Pass/Fail]]="",Table1[[#This Row],[Symbol Pass/Fail]]="",Table1[[#This Row],[Footprint Pass/Fail]]=""),1,0)</f>
        <v>0</v>
      </c>
    </row>
    <row r="33" spans="1:23" x14ac:dyDescent="0.25">
      <c r="A33" s="60">
        <f t="shared" si="1"/>
        <v>28</v>
      </c>
      <c r="B33" s="2"/>
      <c r="C33" s="69"/>
      <c r="D33" s="29"/>
      <c r="E33" s="29"/>
      <c r="F33" s="29"/>
      <c r="G33" s="29"/>
      <c r="I33" s="140"/>
      <c r="J33" s="127"/>
      <c r="K33" s="127"/>
      <c r="L33" s="11"/>
      <c r="M33" s="126"/>
      <c r="N33" s="141"/>
      <c r="O33" s="158"/>
      <c r="P33" s="84"/>
      <c r="Q33" s="140"/>
      <c r="R33" s="1"/>
      <c r="S33" s="150"/>
      <c r="T33" t="str">
        <f>IF(OR(Table1[[#This Row],[Database Pass/Fail]] = "Fail",Table1[[#This Row],[Symbol Pass/Fail]] = "Fail",Table1[[#This Row],[Footprint Pass/Fail]] = "Fail"), "Fail", "Pass")</f>
        <v>Pass</v>
      </c>
      <c r="U33" t="str">
        <f>IF(Table1[[#This Row],[Date Re-checked/Passed]] = "",T33,Q33)</f>
        <v>Pass</v>
      </c>
      <c r="V33" t="str">
        <f>IF(AND(Table1[[#This Row],[Part Num]]&lt;&gt;"",U33 = "Fail"), "Fail", "Pass")</f>
        <v>Pass</v>
      </c>
      <c r="W33">
        <f>IF(AND(Table1[[#This Row],[Part Num]]&lt;&gt;"",Table1[[#This Row],[Database Pass/Fail]]="",Table1[[#This Row],[Symbol Pass/Fail]]="",Table1[[#This Row],[Footprint Pass/Fail]]=""),1,0)</f>
        <v>0</v>
      </c>
    </row>
    <row r="34" spans="1:23" x14ac:dyDescent="0.25">
      <c r="A34" s="60">
        <f t="shared" si="1"/>
        <v>29</v>
      </c>
      <c r="B34" s="2"/>
      <c r="C34" s="69"/>
      <c r="D34" s="29"/>
      <c r="E34" s="29"/>
      <c r="F34" s="29"/>
      <c r="G34" s="29"/>
      <c r="I34" s="140"/>
      <c r="J34" s="127"/>
      <c r="K34" s="127"/>
      <c r="L34" s="11"/>
      <c r="M34" s="126"/>
      <c r="N34" s="141"/>
      <c r="O34" s="158"/>
      <c r="P34" s="84"/>
      <c r="Q34" s="140"/>
      <c r="R34" s="1"/>
      <c r="S34" s="150"/>
      <c r="T34" t="str">
        <f>IF(OR(Table1[[#This Row],[Database Pass/Fail]] = "Fail",Table1[[#This Row],[Symbol Pass/Fail]] = "Fail",Table1[[#This Row],[Footprint Pass/Fail]] = "Fail"), "Fail", "Pass")</f>
        <v>Pass</v>
      </c>
      <c r="U34" t="str">
        <f>IF(Table1[[#This Row],[Date Re-checked/Passed]] = "",T34,Q34)</f>
        <v>Pass</v>
      </c>
      <c r="V34" t="str">
        <f>IF(AND(Table1[[#This Row],[Part Num]]&lt;&gt;"",U34 = "Fail"), "Fail", "Pass")</f>
        <v>Pass</v>
      </c>
      <c r="W34">
        <f>IF(AND(Table1[[#This Row],[Part Num]]&lt;&gt;"",Table1[[#This Row],[Database Pass/Fail]]="",Table1[[#This Row],[Symbol Pass/Fail]]="",Table1[[#This Row],[Footprint Pass/Fail]]=""),1,0)</f>
        <v>0</v>
      </c>
    </row>
    <row r="35" spans="1:23" x14ac:dyDescent="0.25">
      <c r="A35" s="60">
        <f t="shared" si="1"/>
        <v>30</v>
      </c>
      <c r="B35" s="2"/>
      <c r="C35" s="69"/>
      <c r="D35" s="29"/>
      <c r="E35" s="29"/>
      <c r="F35" s="29"/>
      <c r="G35" s="29"/>
      <c r="I35" s="140"/>
      <c r="J35" s="127"/>
      <c r="K35" s="127"/>
      <c r="L35" s="11"/>
      <c r="M35" s="126"/>
      <c r="N35" s="141"/>
      <c r="O35" s="158"/>
      <c r="P35" s="84"/>
      <c r="Q35" s="140"/>
      <c r="R35" s="1"/>
      <c r="S35" s="150"/>
      <c r="T35" t="str">
        <f>IF(OR(Table1[[#This Row],[Database Pass/Fail]] = "Fail",Table1[[#This Row],[Symbol Pass/Fail]] = "Fail",Table1[[#This Row],[Footprint Pass/Fail]] = "Fail"), "Fail", "Pass")</f>
        <v>Pass</v>
      </c>
      <c r="U35" t="str">
        <f>IF(Table1[[#This Row],[Date Re-checked/Passed]] = "",T35,Q35)</f>
        <v>Pass</v>
      </c>
      <c r="V35" t="str">
        <f>IF(AND(Table1[[#This Row],[Part Num]]&lt;&gt;"",U35 = "Fail"), "Fail", "Pass")</f>
        <v>Pass</v>
      </c>
      <c r="W35">
        <f>IF(AND(Table1[[#This Row],[Part Num]]&lt;&gt;"",Table1[[#This Row],[Database Pass/Fail]]="",Table1[[#This Row],[Symbol Pass/Fail]]="",Table1[[#This Row],[Footprint Pass/Fail]]=""),1,0)</f>
        <v>0</v>
      </c>
    </row>
    <row r="36" spans="1:23" x14ac:dyDescent="0.25">
      <c r="A36" s="60">
        <f t="shared" si="1"/>
        <v>31</v>
      </c>
      <c r="B36" s="2"/>
      <c r="C36" s="69"/>
      <c r="D36" s="29"/>
      <c r="E36" s="29"/>
      <c r="F36" s="29"/>
      <c r="G36" s="29"/>
      <c r="I36" s="140"/>
      <c r="J36" s="127"/>
      <c r="K36" s="127"/>
      <c r="L36" s="11"/>
      <c r="M36" s="126"/>
      <c r="N36" s="141"/>
      <c r="O36" s="158"/>
      <c r="P36" s="84"/>
      <c r="Q36" s="140"/>
      <c r="R36" s="1"/>
      <c r="S36" s="150"/>
      <c r="T36" t="str">
        <f>IF(OR(Table1[[#This Row],[Database Pass/Fail]] = "Fail",Table1[[#This Row],[Symbol Pass/Fail]] = "Fail",Table1[[#This Row],[Footprint Pass/Fail]] = "Fail"), "Fail", "Pass")</f>
        <v>Pass</v>
      </c>
      <c r="U36" t="str">
        <f>IF(Table1[[#This Row],[Date Re-checked/Passed]] = "",T36,Q36)</f>
        <v>Pass</v>
      </c>
      <c r="V36" t="str">
        <f>IF(AND(Table1[[#This Row],[Part Num]]&lt;&gt;"",U36 = "Fail"), "Fail", "Pass")</f>
        <v>Pass</v>
      </c>
      <c r="W36">
        <f>IF(AND(Table1[[#This Row],[Part Num]]&lt;&gt;"",Table1[[#This Row],[Database Pass/Fail]]="",Table1[[#This Row],[Symbol Pass/Fail]]="",Table1[[#This Row],[Footprint Pass/Fail]]=""),1,0)</f>
        <v>0</v>
      </c>
    </row>
    <row r="37" spans="1:23" x14ac:dyDescent="0.25">
      <c r="A37" s="60">
        <f t="shared" si="1"/>
        <v>32</v>
      </c>
      <c r="B37" s="69"/>
      <c r="C37" s="69"/>
      <c r="D37" s="69"/>
      <c r="E37" s="29"/>
      <c r="F37" s="69"/>
      <c r="G37" s="29"/>
      <c r="I37" s="140"/>
      <c r="J37" s="127"/>
      <c r="K37" s="127"/>
      <c r="L37" s="11"/>
      <c r="M37" s="126"/>
      <c r="N37" s="141"/>
      <c r="O37" s="158"/>
      <c r="P37" s="84"/>
      <c r="Q37" s="140"/>
      <c r="R37" s="1"/>
      <c r="S37" s="150"/>
      <c r="T37" t="str">
        <f>IF(OR(Table1[[#This Row],[Database Pass/Fail]] = "Fail",Table1[[#This Row],[Symbol Pass/Fail]] = "Fail",Table1[[#This Row],[Footprint Pass/Fail]] = "Fail"), "Fail", "Pass")</f>
        <v>Pass</v>
      </c>
      <c r="U37" t="str">
        <f>IF(Table1[[#This Row],[Date Re-checked/Passed]] = "",T37,Q37)</f>
        <v>Pass</v>
      </c>
      <c r="V37" t="str">
        <f>IF(AND(Table1[[#This Row],[Part Num]]&lt;&gt;"",U37 = "Fail"), "Fail", "Pass")</f>
        <v>Pass</v>
      </c>
      <c r="W37">
        <f>IF(AND(Table1[[#This Row],[Part Num]]&lt;&gt;"",Table1[[#This Row],[Database Pass/Fail]]="",Table1[[#This Row],[Symbol Pass/Fail]]="",Table1[[#This Row],[Footprint Pass/Fail]]=""),1,0)</f>
        <v>0</v>
      </c>
    </row>
    <row r="38" spans="1:23" x14ac:dyDescent="0.25">
      <c r="A38" s="60">
        <f t="shared" si="1"/>
        <v>33</v>
      </c>
      <c r="B38" s="69"/>
      <c r="C38" s="69"/>
      <c r="D38" s="69"/>
      <c r="E38" s="29"/>
      <c r="F38" s="69"/>
      <c r="G38" s="29"/>
      <c r="I38" s="140"/>
      <c r="J38" s="127"/>
      <c r="K38" s="127"/>
      <c r="L38" s="11"/>
      <c r="M38" s="126"/>
      <c r="N38" s="141"/>
      <c r="O38" s="158"/>
      <c r="P38" s="141"/>
      <c r="Q38" s="140"/>
      <c r="R38" s="1"/>
      <c r="S38" s="150"/>
      <c r="T38" t="str">
        <f>IF(OR(Table1[[#This Row],[Database Pass/Fail]] = "Fail",Table1[[#This Row],[Symbol Pass/Fail]] = "Fail",Table1[[#This Row],[Footprint Pass/Fail]] = "Fail"), "Fail", "Pass")</f>
        <v>Pass</v>
      </c>
      <c r="U38" t="str">
        <f>IF(Table1[[#This Row],[Date Re-checked/Passed]] = "",T38,Q38)</f>
        <v>Pass</v>
      </c>
      <c r="V38" t="str">
        <f>IF(AND(Table1[[#This Row],[Part Num]]&lt;&gt;"",U38 = "Fail"), "Fail", "Pass")</f>
        <v>Pass</v>
      </c>
      <c r="W38">
        <f>IF(AND(Table1[[#This Row],[Part Num]]&lt;&gt;"",Table1[[#This Row],[Database Pass/Fail]]="",Table1[[#This Row],[Symbol Pass/Fail]]="",Table1[[#This Row],[Footprint Pass/Fail]]=""),1,0)</f>
        <v>0</v>
      </c>
    </row>
    <row r="39" spans="1:23" x14ac:dyDescent="0.25">
      <c r="A39" s="60">
        <f t="shared" si="1"/>
        <v>34</v>
      </c>
      <c r="B39" s="69"/>
      <c r="C39" s="69"/>
      <c r="D39" s="69"/>
      <c r="E39" s="29"/>
      <c r="F39" s="69"/>
      <c r="G39" s="29"/>
      <c r="I39" s="140"/>
      <c r="J39" s="127"/>
      <c r="K39" s="127"/>
      <c r="L39" s="1"/>
      <c r="M39" s="139"/>
      <c r="N39" s="141"/>
      <c r="O39" s="158"/>
      <c r="P39" s="141"/>
      <c r="Q39" s="140"/>
      <c r="R39" s="1"/>
      <c r="S39" s="150"/>
      <c r="T39" t="str">
        <f>IF(OR(Table1[[#This Row],[Database Pass/Fail]] = "Fail",Table1[[#This Row],[Symbol Pass/Fail]] = "Fail",Table1[[#This Row],[Footprint Pass/Fail]] = "Fail"), "Fail", "Pass")</f>
        <v>Pass</v>
      </c>
      <c r="U39" t="str">
        <f>IF(Table1[[#This Row],[Date Re-checked/Passed]] = "",T39,Q39)</f>
        <v>Pass</v>
      </c>
      <c r="V39" t="str">
        <f>IF(AND(Table1[[#This Row],[Part Num]]&lt;&gt;"",U39 = "Fail"), "Fail", "Pass")</f>
        <v>Pass</v>
      </c>
      <c r="W39">
        <f>IF(AND(Table1[[#This Row],[Part Num]]&lt;&gt;"",Table1[[#This Row],[Database Pass/Fail]]="",Table1[[#This Row],[Symbol Pass/Fail]]="",Table1[[#This Row],[Footprint Pass/Fail]]=""),1,0)</f>
        <v>0</v>
      </c>
    </row>
    <row r="40" spans="1:23" x14ac:dyDescent="0.25">
      <c r="A40" s="60">
        <f t="shared" si="1"/>
        <v>35</v>
      </c>
      <c r="C40" s="69"/>
      <c r="D40" s="69"/>
      <c r="E40" s="29"/>
      <c r="F40" s="69"/>
      <c r="G40" s="29"/>
      <c r="I40" s="140"/>
      <c r="J40" s="127"/>
      <c r="K40" s="127"/>
      <c r="L40" s="1"/>
      <c r="M40" s="139"/>
      <c r="N40" s="141"/>
      <c r="O40" s="158"/>
      <c r="P40" s="141"/>
      <c r="Q40" s="140"/>
      <c r="R40" s="1"/>
      <c r="S40" s="150"/>
      <c r="T40" t="str">
        <f>IF(OR(Table1[[#This Row],[Database Pass/Fail]] = "Fail",Table1[[#This Row],[Symbol Pass/Fail]] = "Fail",Table1[[#This Row],[Footprint Pass/Fail]] = "Fail"), "Fail", "Pass")</f>
        <v>Pass</v>
      </c>
      <c r="U40" t="str">
        <f>IF(Table1[[#This Row],[Date Re-checked/Passed]] = "",T40,Q40)</f>
        <v>Pass</v>
      </c>
      <c r="V40" t="str">
        <f>IF(AND(Table1[[#This Row],[Part Num]]&lt;&gt;"",U40 = "Fail"), "Fail", "Pass")</f>
        <v>Pass</v>
      </c>
      <c r="W40">
        <f>IF(AND(Table1[[#This Row],[Part Num]]&lt;&gt;"",Table1[[#This Row],[Database Pass/Fail]]="",Table1[[#This Row],[Symbol Pass/Fail]]="",Table1[[#This Row],[Footprint Pass/Fail]]=""),1,0)</f>
        <v>0</v>
      </c>
    </row>
    <row r="41" spans="1:23" x14ac:dyDescent="0.25">
      <c r="A41" s="60">
        <f t="shared" si="1"/>
        <v>36</v>
      </c>
      <c r="C41" s="69"/>
      <c r="D41" s="69"/>
      <c r="E41" s="29"/>
      <c r="F41" s="69"/>
      <c r="G41" s="29"/>
      <c r="I41" s="140"/>
      <c r="J41" s="127"/>
      <c r="K41" s="127"/>
      <c r="L41" s="1"/>
      <c r="M41" s="139"/>
      <c r="N41" s="141"/>
      <c r="O41" s="158"/>
      <c r="P41" s="141"/>
      <c r="Q41" s="140"/>
      <c r="R41" s="1"/>
      <c r="S41" s="150"/>
      <c r="T41" t="str">
        <f>IF(OR(Table1[[#This Row],[Database Pass/Fail]] = "Fail",Table1[[#This Row],[Symbol Pass/Fail]] = "Fail",Table1[[#This Row],[Footprint Pass/Fail]] = "Fail"), "Fail", "Pass")</f>
        <v>Pass</v>
      </c>
      <c r="U41" t="str">
        <f>IF(Table1[[#This Row],[Date Re-checked/Passed]] = "",T41,Q41)</f>
        <v>Pass</v>
      </c>
      <c r="V41" t="str">
        <f>IF(AND(Table1[[#This Row],[Part Num]]&lt;&gt;"",U41 = "Fail"), "Fail", "Pass")</f>
        <v>Pass</v>
      </c>
      <c r="W41">
        <f>IF(AND(Table1[[#This Row],[Part Num]]&lt;&gt;"",Table1[[#This Row],[Database Pass/Fail]]="",Table1[[#This Row],[Symbol Pass/Fail]]="",Table1[[#This Row],[Footprint Pass/Fail]]=""),1,0)</f>
        <v>0</v>
      </c>
    </row>
    <row r="42" spans="1:23" x14ac:dyDescent="0.25">
      <c r="A42" s="60">
        <f t="shared" si="1"/>
        <v>37</v>
      </c>
      <c r="C42" s="69"/>
      <c r="D42" s="69"/>
      <c r="E42" s="29"/>
      <c r="F42" s="69"/>
      <c r="G42" s="29"/>
      <c r="I42" s="140"/>
      <c r="J42" s="127"/>
      <c r="K42" s="127"/>
      <c r="L42" s="1"/>
      <c r="M42" s="139"/>
      <c r="N42" s="141"/>
      <c r="O42" s="158"/>
      <c r="P42" s="141"/>
      <c r="Q42" s="140"/>
      <c r="R42" s="1"/>
      <c r="S42" s="150"/>
      <c r="T42" t="str">
        <f>IF(OR(Table1[[#This Row],[Database Pass/Fail]] = "Fail",Table1[[#This Row],[Symbol Pass/Fail]] = "Fail",Table1[[#This Row],[Footprint Pass/Fail]] = "Fail"), "Fail", "Pass")</f>
        <v>Pass</v>
      </c>
      <c r="U42" t="str">
        <f>IF(Table1[[#This Row],[Date Re-checked/Passed]] = "",T42,Q42)</f>
        <v>Pass</v>
      </c>
      <c r="V42" t="str">
        <f>IF(AND(Table1[[#This Row],[Part Num]]&lt;&gt;"",U42 = "Fail"), "Fail", "Pass")</f>
        <v>Pass</v>
      </c>
      <c r="W42">
        <f>IF(AND(Table1[[#This Row],[Part Num]]&lt;&gt;"",Table1[[#This Row],[Database Pass/Fail]]="",Table1[[#This Row],[Symbol Pass/Fail]]="",Table1[[#This Row],[Footprint Pass/Fail]]=""),1,0)</f>
        <v>0</v>
      </c>
    </row>
    <row r="43" spans="1:23" x14ac:dyDescent="0.25">
      <c r="A43" s="60">
        <f t="shared" si="1"/>
        <v>38</v>
      </c>
      <c r="C43" s="69"/>
      <c r="D43" s="69"/>
      <c r="E43" s="29"/>
      <c r="F43" s="69"/>
      <c r="G43" s="29"/>
      <c r="I43" s="140"/>
      <c r="J43" s="127"/>
      <c r="K43" s="127"/>
      <c r="L43" s="1"/>
      <c r="M43" s="139"/>
      <c r="N43" s="141"/>
      <c r="O43" s="158"/>
      <c r="P43" s="141"/>
      <c r="Q43" s="140"/>
      <c r="R43" s="1"/>
      <c r="S43" s="150"/>
      <c r="T43" t="str">
        <f>IF(OR(Table1[[#This Row],[Database Pass/Fail]] = "Fail",Table1[[#This Row],[Symbol Pass/Fail]] = "Fail",Table1[[#This Row],[Footprint Pass/Fail]] = "Fail"), "Fail", "Pass")</f>
        <v>Pass</v>
      </c>
      <c r="U43" t="str">
        <f>IF(Table1[[#This Row],[Date Re-checked/Passed]] = "",T43,Q43)</f>
        <v>Pass</v>
      </c>
      <c r="V43" t="str">
        <f>IF(AND(Table1[[#This Row],[Part Num]]&lt;&gt;"",U43 = "Fail"), "Fail", "Pass")</f>
        <v>Pass</v>
      </c>
      <c r="W43">
        <f>IF(AND(Table1[[#This Row],[Part Num]]&lt;&gt;"",Table1[[#This Row],[Database Pass/Fail]]="",Table1[[#This Row],[Symbol Pass/Fail]]="",Table1[[#This Row],[Footprint Pass/Fail]]=""),1,0)</f>
        <v>0</v>
      </c>
    </row>
    <row r="44" spans="1:23" x14ac:dyDescent="0.25">
      <c r="A44" s="60">
        <f t="shared" si="1"/>
        <v>39</v>
      </c>
      <c r="C44" s="69"/>
      <c r="D44" s="69"/>
      <c r="E44" s="29"/>
      <c r="F44" s="69"/>
      <c r="G44" s="29"/>
      <c r="I44" s="140"/>
      <c r="J44" s="127"/>
      <c r="K44" s="127"/>
      <c r="L44" s="1"/>
      <c r="M44" s="139"/>
      <c r="N44" s="141"/>
      <c r="O44" s="158"/>
      <c r="P44" s="141"/>
      <c r="Q44" s="140"/>
      <c r="R44" s="1"/>
      <c r="S44" s="150"/>
      <c r="T44" t="str">
        <f>IF(OR(Table1[[#This Row],[Database Pass/Fail]] = "Fail",Table1[[#This Row],[Symbol Pass/Fail]] = "Fail",Table1[[#This Row],[Footprint Pass/Fail]] = "Fail"), "Fail", "Pass")</f>
        <v>Pass</v>
      </c>
      <c r="U44" t="str">
        <f>IF(Table1[[#This Row],[Date Re-checked/Passed]] = "",T44,Q44)</f>
        <v>Pass</v>
      </c>
      <c r="V44" t="str">
        <f>IF(AND(Table1[[#This Row],[Part Num]]&lt;&gt;"",U44 = "Fail"), "Fail", "Pass")</f>
        <v>Pass</v>
      </c>
      <c r="W44">
        <f>IF(AND(Table1[[#This Row],[Part Num]]&lt;&gt;"",Table1[[#This Row],[Database Pass/Fail]]="",Table1[[#This Row],[Symbol Pass/Fail]]="",Table1[[#This Row],[Footprint Pass/Fail]]=""),1,0)</f>
        <v>0</v>
      </c>
    </row>
    <row r="45" spans="1:23" x14ac:dyDescent="0.25">
      <c r="A45" s="60">
        <f t="shared" si="1"/>
        <v>40</v>
      </c>
      <c r="C45" s="69"/>
      <c r="D45" s="69"/>
      <c r="E45" s="29"/>
      <c r="F45" s="69"/>
      <c r="G45" s="29"/>
      <c r="I45" s="140"/>
      <c r="J45" s="127"/>
      <c r="K45" s="127"/>
      <c r="L45" s="1"/>
      <c r="M45" s="139"/>
      <c r="N45" s="141"/>
      <c r="O45" s="158"/>
      <c r="P45" s="141"/>
      <c r="Q45" s="140"/>
      <c r="R45" s="1"/>
      <c r="S45" s="150"/>
      <c r="T45" t="str">
        <f>IF(OR(Table1[[#This Row],[Database Pass/Fail]] = "Fail",Table1[[#This Row],[Symbol Pass/Fail]] = "Fail",Table1[[#This Row],[Footprint Pass/Fail]] = "Fail"), "Fail", "Pass")</f>
        <v>Pass</v>
      </c>
      <c r="U45" t="str">
        <f>IF(Table1[[#This Row],[Date Re-checked/Passed]] = "",T45,Q45)</f>
        <v>Pass</v>
      </c>
      <c r="V45" t="str">
        <f>IF(AND(Table1[[#This Row],[Part Num]]&lt;&gt;"",U45 = "Fail"), "Fail", "Pass")</f>
        <v>Pass</v>
      </c>
      <c r="W45">
        <f>IF(AND(Table1[[#This Row],[Part Num]]&lt;&gt;"",Table1[[#This Row],[Database Pass/Fail]]="",Table1[[#This Row],[Symbol Pass/Fail]]="",Table1[[#This Row],[Footprint Pass/Fail]]=""),1,0)</f>
        <v>0</v>
      </c>
    </row>
    <row r="46" spans="1:23" x14ac:dyDescent="0.25">
      <c r="A46" s="60">
        <f t="shared" si="1"/>
        <v>41</v>
      </c>
      <c r="C46" s="69"/>
      <c r="D46" s="69"/>
      <c r="E46" s="29"/>
      <c r="F46" s="69"/>
      <c r="G46" s="29"/>
      <c r="I46" s="140"/>
      <c r="J46" s="127"/>
      <c r="K46" s="127"/>
      <c r="L46" s="1"/>
      <c r="M46" s="139"/>
      <c r="N46" s="141"/>
      <c r="O46" s="158"/>
      <c r="P46" s="141"/>
      <c r="Q46" s="140"/>
      <c r="R46" s="1"/>
      <c r="S46" s="150"/>
      <c r="T46" t="str">
        <f>IF(OR(Table1[[#This Row],[Database Pass/Fail]] = "Fail",Table1[[#This Row],[Symbol Pass/Fail]] = "Fail",Table1[[#This Row],[Footprint Pass/Fail]] = "Fail"), "Fail", "Pass")</f>
        <v>Pass</v>
      </c>
      <c r="U46" t="str">
        <f>IF(Table1[[#This Row],[Date Re-checked/Passed]] = "",T46,Q46)</f>
        <v>Pass</v>
      </c>
      <c r="V46" t="str">
        <f>IF(AND(Table1[[#This Row],[Part Num]]&lt;&gt;"",U46 = "Fail"), "Fail", "Pass")</f>
        <v>Pass</v>
      </c>
      <c r="W46">
        <f>IF(AND(Table1[[#This Row],[Part Num]]&lt;&gt;"",Table1[[#This Row],[Database Pass/Fail]]="",Table1[[#This Row],[Symbol Pass/Fail]]="",Table1[[#This Row],[Footprint Pass/Fail]]=""),1,0)</f>
        <v>0</v>
      </c>
    </row>
    <row r="47" spans="1:23" x14ac:dyDescent="0.25">
      <c r="A47" s="60">
        <f t="shared" si="1"/>
        <v>42</v>
      </c>
      <c r="C47" s="69"/>
      <c r="D47" s="69"/>
      <c r="E47" s="29"/>
      <c r="F47" s="69"/>
      <c r="G47" s="29"/>
      <c r="I47" s="140"/>
      <c r="J47" s="127"/>
      <c r="K47" s="127"/>
      <c r="L47" s="1"/>
      <c r="M47" s="139"/>
      <c r="N47" s="141"/>
      <c r="O47" s="158"/>
      <c r="P47" s="141"/>
      <c r="Q47" s="140"/>
      <c r="R47" s="1"/>
      <c r="S47" s="150"/>
      <c r="T47" t="str">
        <f>IF(OR(Table1[[#This Row],[Database Pass/Fail]] = "Fail",Table1[[#This Row],[Symbol Pass/Fail]] = "Fail",Table1[[#This Row],[Footprint Pass/Fail]] = "Fail"), "Fail", "Pass")</f>
        <v>Pass</v>
      </c>
      <c r="U47" t="str">
        <f>IF(Table1[[#This Row],[Date Re-checked/Passed]] = "",T47,Q47)</f>
        <v>Pass</v>
      </c>
      <c r="V47" t="str">
        <f>IF(AND(Table1[[#This Row],[Part Num]]&lt;&gt;"",U47 = "Fail"), "Fail", "Pass")</f>
        <v>Pass</v>
      </c>
      <c r="W47">
        <f>IF(AND(Table1[[#This Row],[Part Num]]&lt;&gt;"",Table1[[#This Row],[Database Pass/Fail]]="",Table1[[#This Row],[Symbol Pass/Fail]]="",Table1[[#This Row],[Footprint Pass/Fail]]=""),1,0)</f>
        <v>0</v>
      </c>
    </row>
    <row r="48" spans="1:23" x14ac:dyDescent="0.25">
      <c r="A48" s="60">
        <f t="shared" si="1"/>
        <v>43</v>
      </c>
      <c r="C48" s="69"/>
      <c r="D48" s="69"/>
      <c r="E48" s="29"/>
      <c r="F48" s="69"/>
      <c r="G48" s="29"/>
      <c r="I48" s="140"/>
      <c r="J48" s="127"/>
      <c r="K48" s="127"/>
      <c r="L48" s="1"/>
      <c r="M48" s="139"/>
      <c r="N48" s="141"/>
      <c r="O48" s="158"/>
      <c r="P48" s="141"/>
      <c r="Q48" s="140"/>
      <c r="R48" s="1"/>
      <c r="S48" s="150"/>
      <c r="T48" t="str">
        <f>IF(OR(Table1[[#This Row],[Database Pass/Fail]] = "Fail",Table1[[#This Row],[Symbol Pass/Fail]] = "Fail",Table1[[#This Row],[Footprint Pass/Fail]] = "Fail"), "Fail", "Pass")</f>
        <v>Pass</v>
      </c>
      <c r="U48" t="str">
        <f>IF(Table1[[#This Row],[Date Re-checked/Passed]] = "",T48,Q48)</f>
        <v>Pass</v>
      </c>
      <c r="V48" t="str">
        <f>IF(AND(Table1[[#This Row],[Part Num]]&lt;&gt;"",U48 = "Fail"), "Fail", "Pass")</f>
        <v>Pass</v>
      </c>
      <c r="W48">
        <f>IF(AND(Table1[[#This Row],[Part Num]]&lt;&gt;"",Table1[[#This Row],[Database Pass/Fail]]="",Table1[[#This Row],[Symbol Pass/Fail]]="",Table1[[#This Row],[Footprint Pass/Fail]]=""),1,0)</f>
        <v>0</v>
      </c>
    </row>
    <row r="49" spans="1:23" x14ac:dyDescent="0.25">
      <c r="A49" s="60">
        <f t="shared" si="1"/>
        <v>44</v>
      </c>
      <c r="C49" s="69"/>
      <c r="D49" s="69"/>
      <c r="E49" s="29"/>
      <c r="F49" s="69"/>
      <c r="G49" s="29"/>
      <c r="I49" s="140"/>
      <c r="J49" s="127"/>
      <c r="K49" s="127"/>
      <c r="L49" s="1"/>
      <c r="M49" s="139"/>
      <c r="N49" s="141"/>
      <c r="O49" s="158"/>
      <c r="P49" s="141"/>
      <c r="Q49" s="140"/>
      <c r="R49" s="1"/>
      <c r="S49" s="150"/>
      <c r="T49" t="str">
        <f>IF(OR(Table1[[#This Row],[Database Pass/Fail]] = "Fail",Table1[[#This Row],[Symbol Pass/Fail]] = "Fail",Table1[[#This Row],[Footprint Pass/Fail]] = "Fail"), "Fail", "Pass")</f>
        <v>Pass</v>
      </c>
      <c r="U49" t="str">
        <f>IF(Table1[[#This Row],[Date Re-checked/Passed]] = "",T49,Q49)</f>
        <v>Pass</v>
      </c>
      <c r="V49" t="str">
        <f>IF(AND(Table1[[#This Row],[Part Num]]&lt;&gt;"",U49 = "Fail"), "Fail", "Pass")</f>
        <v>Pass</v>
      </c>
      <c r="W49">
        <f>IF(AND(Table1[[#This Row],[Part Num]]&lt;&gt;"",Table1[[#This Row],[Database Pass/Fail]]="",Table1[[#This Row],[Symbol Pass/Fail]]="",Table1[[#This Row],[Footprint Pass/Fail]]=""),1,0)</f>
        <v>0</v>
      </c>
    </row>
    <row r="50" spans="1:23" x14ac:dyDescent="0.25">
      <c r="A50" s="60">
        <f t="shared" si="1"/>
        <v>45</v>
      </c>
      <c r="C50" s="69"/>
      <c r="D50" s="69"/>
      <c r="E50" s="29"/>
      <c r="F50" s="69"/>
      <c r="G50" s="29"/>
      <c r="I50" s="140"/>
      <c r="J50" s="127"/>
      <c r="K50" s="127"/>
      <c r="L50" s="1"/>
      <c r="M50" s="139"/>
      <c r="N50" s="141"/>
      <c r="O50" s="158"/>
      <c r="P50" s="141"/>
      <c r="Q50" s="140"/>
      <c r="R50" s="1"/>
      <c r="S50" s="150"/>
      <c r="T50" t="str">
        <f>IF(OR(Table1[[#This Row],[Database Pass/Fail]] = "Fail",Table1[[#This Row],[Symbol Pass/Fail]] = "Fail",Table1[[#This Row],[Footprint Pass/Fail]] = "Fail"), "Fail", "Pass")</f>
        <v>Pass</v>
      </c>
      <c r="U50" t="str">
        <f>IF(Table1[[#This Row],[Date Re-checked/Passed]] = "",T50,Q50)</f>
        <v>Pass</v>
      </c>
      <c r="V50" t="str">
        <f>IF(AND(Table1[[#This Row],[Part Num]]&lt;&gt;"",U50 = "Fail"), "Fail", "Pass")</f>
        <v>Pass</v>
      </c>
      <c r="W50">
        <f>IF(AND(Table1[[#This Row],[Part Num]]&lt;&gt;"",Table1[[#This Row],[Database Pass/Fail]]="",Table1[[#This Row],[Symbol Pass/Fail]]="",Table1[[#This Row],[Footprint Pass/Fail]]=""),1,0)</f>
        <v>0</v>
      </c>
    </row>
    <row r="51" spans="1:23" x14ac:dyDescent="0.25">
      <c r="A51" s="60">
        <f t="shared" si="1"/>
        <v>46</v>
      </c>
      <c r="C51" s="69"/>
      <c r="D51" s="69"/>
      <c r="E51" s="29"/>
      <c r="F51" s="69"/>
      <c r="G51" s="29"/>
      <c r="I51" s="140"/>
      <c r="J51" s="127"/>
      <c r="K51" s="127"/>
      <c r="L51" s="1"/>
      <c r="M51" s="139"/>
      <c r="N51" s="141"/>
      <c r="O51" s="158"/>
      <c r="P51" s="141"/>
      <c r="Q51" s="140"/>
      <c r="R51" s="1"/>
      <c r="S51" s="150"/>
      <c r="T51" t="str">
        <f>IF(OR(Table1[[#This Row],[Database Pass/Fail]] = "Fail",Table1[[#This Row],[Symbol Pass/Fail]] = "Fail",Table1[[#This Row],[Footprint Pass/Fail]] = "Fail"), "Fail", "Pass")</f>
        <v>Pass</v>
      </c>
      <c r="U51" t="str">
        <f>IF(Table1[[#This Row],[Date Re-checked/Passed]] = "",T51,Q51)</f>
        <v>Pass</v>
      </c>
      <c r="V51" t="str">
        <f>IF(AND(Table1[[#This Row],[Part Num]]&lt;&gt;"",U51 = "Fail"), "Fail", "Pass")</f>
        <v>Pass</v>
      </c>
      <c r="W51">
        <f>IF(AND(Table1[[#This Row],[Part Num]]&lt;&gt;"",Table1[[#This Row],[Database Pass/Fail]]="",Table1[[#This Row],[Symbol Pass/Fail]]="",Table1[[#This Row],[Footprint Pass/Fail]]=""),1,0)</f>
        <v>0</v>
      </c>
    </row>
    <row r="52" spans="1:23" x14ac:dyDescent="0.25">
      <c r="A52" s="60">
        <f t="shared" si="1"/>
        <v>47</v>
      </c>
      <c r="C52" s="69"/>
      <c r="D52" s="69"/>
      <c r="E52" s="29"/>
      <c r="F52" s="69"/>
      <c r="G52" s="29"/>
      <c r="I52" s="140"/>
      <c r="J52" s="127"/>
      <c r="K52" s="127"/>
      <c r="L52" s="1"/>
      <c r="M52" s="139"/>
      <c r="N52" s="141"/>
      <c r="O52" s="158"/>
      <c r="P52" s="141"/>
      <c r="Q52" s="140"/>
      <c r="R52" s="1"/>
      <c r="S52" s="150"/>
      <c r="T52" t="str">
        <f>IF(OR(Table1[[#This Row],[Database Pass/Fail]] = "Fail",Table1[[#This Row],[Symbol Pass/Fail]] = "Fail",Table1[[#This Row],[Footprint Pass/Fail]] = "Fail"), "Fail", "Pass")</f>
        <v>Pass</v>
      </c>
      <c r="U52" t="str">
        <f>IF(Table1[[#This Row],[Date Re-checked/Passed]] = "",T52,Q52)</f>
        <v>Pass</v>
      </c>
      <c r="V52" t="str">
        <f>IF(AND(Table1[[#This Row],[Part Num]]&lt;&gt;"",U52 = "Fail"), "Fail", "Pass")</f>
        <v>Pass</v>
      </c>
      <c r="W52">
        <f>IF(AND(Table1[[#This Row],[Part Num]]&lt;&gt;"",Table1[[#This Row],[Database Pass/Fail]]="",Table1[[#This Row],[Symbol Pass/Fail]]="",Table1[[#This Row],[Footprint Pass/Fail]]=""),1,0)</f>
        <v>0</v>
      </c>
    </row>
    <row r="53" spans="1:23" x14ac:dyDescent="0.25">
      <c r="A53" s="60">
        <f t="shared" si="1"/>
        <v>48</v>
      </c>
      <c r="C53" s="69"/>
      <c r="D53" s="69"/>
      <c r="E53" s="29"/>
      <c r="F53" s="69"/>
      <c r="G53" s="29"/>
      <c r="I53" s="140"/>
      <c r="J53" s="127"/>
      <c r="K53" s="127"/>
      <c r="L53" s="1"/>
      <c r="M53" s="139"/>
      <c r="N53" s="141"/>
      <c r="O53" s="158"/>
      <c r="P53" s="141"/>
      <c r="Q53" s="140"/>
      <c r="R53" s="1"/>
      <c r="S53" s="150"/>
      <c r="T53" t="str">
        <f>IF(OR(Table1[[#This Row],[Database Pass/Fail]] = "Fail",Table1[[#This Row],[Symbol Pass/Fail]] = "Fail",Table1[[#This Row],[Footprint Pass/Fail]] = "Fail"), "Fail", "Pass")</f>
        <v>Pass</v>
      </c>
      <c r="U53" t="str">
        <f>IF(Table1[[#This Row],[Date Re-checked/Passed]] = "",T53,Q53)</f>
        <v>Pass</v>
      </c>
      <c r="V53" t="str">
        <f>IF(AND(Table1[[#This Row],[Part Num]]&lt;&gt;"",U53 = "Fail"), "Fail", "Pass")</f>
        <v>Pass</v>
      </c>
      <c r="W53">
        <f>IF(AND(Table1[[#This Row],[Part Num]]&lt;&gt;"",Table1[[#This Row],[Database Pass/Fail]]="",Table1[[#This Row],[Symbol Pass/Fail]]="",Table1[[#This Row],[Footprint Pass/Fail]]=""),1,0)</f>
        <v>0</v>
      </c>
    </row>
    <row r="54" spans="1:23" x14ac:dyDescent="0.25">
      <c r="A54" s="60">
        <f t="shared" si="1"/>
        <v>49</v>
      </c>
      <c r="C54" s="69"/>
      <c r="D54" s="69"/>
      <c r="E54" s="29"/>
      <c r="F54" s="69"/>
      <c r="G54" s="29"/>
      <c r="I54" s="140"/>
      <c r="J54" s="127"/>
      <c r="K54" s="127"/>
      <c r="L54" s="1"/>
      <c r="M54" s="139"/>
      <c r="N54" s="141"/>
      <c r="O54" s="158"/>
      <c r="P54" s="141"/>
      <c r="Q54" s="140"/>
      <c r="R54" s="1"/>
      <c r="S54" s="150"/>
      <c r="T54" t="str">
        <f>IF(OR(Table1[[#This Row],[Database Pass/Fail]] = "Fail",Table1[[#This Row],[Symbol Pass/Fail]] = "Fail",Table1[[#This Row],[Footprint Pass/Fail]] = "Fail"), "Fail", "Pass")</f>
        <v>Pass</v>
      </c>
      <c r="U54" t="str">
        <f>IF(Table1[[#This Row],[Date Re-checked/Passed]] = "",T54,Q54)</f>
        <v>Pass</v>
      </c>
      <c r="V54" t="str">
        <f>IF(AND(Table1[[#This Row],[Part Num]]&lt;&gt;"",U54 = "Fail"), "Fail", "Pass")</f>
        <v>Pass</v>
      </c>
      <c r="W54">
        <f>IF(AND(Table1[[#This Row],[Part Num]]&lt;&gt;"",Table1[[#This Row],[Database Pass/Fail]]="",Table1[[#This Row],[Symbol Pass/Fail]]="",Table1[[#This Row],[Footprint Pass/Fail]]=""),1,0)</f>
        <v>0</v>
      </c>
    </row>
    <row r="55" spans="1:23" x14ac:dyDescent="0.25">
      <c r="A55" s="60">
        <f t="shared" si="1"/>
        <v>50</v>
      </c>
      <c r="C55" s="69"/>
      <c r="D55" s="69"/>
      <c r="E55" s="29"/>
      <c r="F55" s="69"/>
      <c r="G55" s="29"/>
      <c r="I55" s="140"/>
      <c r="J55" s="127"/>
      <c r="K55" s="127"/>
      <c r="L55" s="1"/>
      <c r="M55" s="139"/>
      <c r="N55" s="141"/>
      <c r="O55" s="158"/>
      <c r="P55" s="141"/>
      <c r="Q55" s="140"/>
      <c r="R55" s="1"/>
      <c r="S55" s="150"/>
      <c r="T55" t="str">
        <f>IF(OR(Table1[[#This Row],[Database Pass/Fail]] = "Fail",Table1[[#This Row],[Symbol Pass/Fail]] = "Fail",Table1[[#This Row],[Footprint Pass/Fail]] = "Fail"), "Fail", "Pass")</f>
        <v>Pass</v>
      </c>
      <c r="U55" t="str">
        <f>IF(Table1[[#This Row],[Date Re-checked/Passed]] = "",T55,Q55)</f>
        <v>Pass</v>
      </c>
      <c r="V55" t="str">
        <f>IF(AND(Table1[[#This Row],[Part Num]]&lt;&gt;"",U55 = "Fail"), "Fail", "Pass")</f>
        <v>Pass</v>
      </c>
      <c r="W55">
        <f>IF(AND(Table1[[#This Row],[Part Num]]&lt;&gt;"",Table1[[#This Row],[Database Pass/Fail]]="",Table1[[#This Row],[Symbol Pass/Fail]]="",Table1[[#This Row],[Footprint Pass/Fail]]=""),1,0)</f>
        <v>0</v>
      </c>
    </row>
    <row r="56" spans="1:23" x14ac:dyDescent="0.25">
      <c r="A56" s="60">
        <f t="shared" si="1"/>
        <v>51</v>
      </c>
      <c r="C56" s="69"/>
      <c r="D56" s="69"/>
      <c r="E56" s="29"/>
      <c r="F56" s="69"/>
      <c r="G56" s="29"/>
      <c r="I56" s="140"/>
      <c r="J56" s="127"/>
      <c r="K56" s="127"/>
      <c r="L56" s="1"/>
      <c r="M56" s="139"/>
      <c r="N56" s="141"/>
      <c r="O56" s="158"/>
      <c r="P56" s="141"/>
      <c r="Q56" s="140"/>
      <c r="R56" s="1"/>
      <c r="S56" s="150"/>
      <c r="T56" t="str">
        <f>IF(OR(Table1[[#This Row],[Database Pass/Fail]] = "Fail",Table1[[#This Row],[Symbol Pass/Fail]] = "Fail",Table1[[#This Row],[Footprint Pass/Fail]] = "Fail"), "Fail", "Pass")</f>
        <v>Pass</v>
      </c>
      <c r="U56" t="str">
        <f>IF(Table1[[#This Row],[Date Re-checked/Passed]] = "",T56,Q56)</f>
        <v>Pass</v>
      </c>
      <c r="V56" t="str">
        <f>IF(AND(Table1[[#This Row],[Part Num]]&lt;&gt;"",U56 = "Fail"), "Fail", "Pass")</f>
        <v>Pass</v>
      </c>
      <c r="W56">
        <f>IF(AND(Table1[[#This Row],[Part Num]]&lt;&gt;"",Table1[[#This Row],[Database Pass/Fail]]="",Table1[[#This Row],[Symbol Pass/Fail]]="",Table1[[#This Row],[Footprint Pass/Fail]]=""),1,0)</f>
        <v>0</v>
      </c>
    </row>
    <row r="57" spans="1:23" x14ac:dyDescent="0.25">
      <c r="A57" s="60">
        <f t="shared" si="1"/>
        <v>52</v>
      </c>
      <c r="C57" s="69"/>
      <c r="D57" s="69"/>
      <c r="E57" s="29"/>
      <c r="F57" s="69"/>
      <c r="G57" s="29"/>
      <c r="I57" s="140"/>
      <c r="J57" s="127"/>
      <c r="K57" s="127"/>
      <c r="L57" s="1"/>
      <c r="M57" s="139"/>
      <c r="N57" s="141"/>
      <c r="O57" s="158"/>
      <c r="P57" s="141"/>
      <c r="Q57" s="140"/>
      <c r="R57" s="1"/>
      <c r="S57" s="150"/>
      <c r="T57" t="str">
        <f>IF(OR(Table1[[#This Row],[Database Pass/Fail]] = "Fail",Table1[[#This Row],[Symbol Pass/Fail]] = "Fail",Table1[[#This Row],[Footprint Pass/Fail]] = "Fail"), "Fail", "Pass")</f>
        <v>Pass</v>
      </c>
      <c r="U57" t="str">
        <f>IF(Table1[[#This Row],[Date Re-checked/Passed]] = "",T57,Q57)</f>
        <v>Pass</v>
      </c>
      <c r="V57" t="str">
        <f>IF(AND(Table1[[#This Row],[Part Num]]&lt;&gt;"",U57 = "Fail"), "Fail", "Pass")</f>
        <v>Pass</v>
      </c>
      <c r="W57">
        <f>IF(AND(Table1[[#This Row],[Part Num]]&lt;&gt;"",Table1[[#This Row],[Database Pass/Fail]]="",Table1[[#This Row],[Symbol Pass/Fail]]="",Table1[[#This Row],[Footprint Pass/Fail]]=""),1,0)</f>
        <v>0</v>
      </c>
    </row>
    <row r="58" spans="1:23" x14ac:dyDescent="0.25">
      <c r="A58" s="60">
        <f t="shared" si="1"/>
        <v>53</v>
      </c>
      <c r="C58" s="69"/>
      <c r="D58" s="69"/>
      <c r="E58" s="29"/>
      <c r="F58" s="69"/>
      <c r="G58" s="29"/>
      <c r="I58" s="140"/>
      <c r="J58" s="127"/>
      <c r="K58" s="127"/>
      <c r="L58" s="1"/>
      <c r="M58" s="139"/>
      <c r="N58" s="141"/>
      <c r="O58" s="158"/>
      <c r="P58" s="141"/>
      <c r="Q58" s="140"/>
      <c r="R58" s="1"/>
      <c r="S58" s="150"/>
      <c r="T58" t="str">
        <f>IF(OR(Table1[[#This Row],[Database Pass/Fail]] = "Fail",Table1[[#This Row],[Symbol Pass/Fail]] = "Fail",Table1[[#This Row],[Footprint Pass/Fail]] = "Fail"), "Fail", "Pass")</f>
        <v>Pass</v>
      </c>
      <c r="U58" t="str">
        <f>IF(Table1[[#This Row],[Date Re-checked/Passed]] = "",T58,Q58)</f>
        <v>Pass</v>
      </c>
      <c r="V58" t="str">
        <f>IF(AND(Table1[[#This Row],[Part Num]]&lt;&gt;"",U58 = "Fail"), "Fail", "Pass")</f>
        <v>Pass</v>
      </c>
      <c r="W58">
        <f>IF(AND(Table1[[#This Row],[Part Num]]&lt;&gt;"",Table1[[#This Row],[Database Pass/Fail]]="",Table1[[#This Row],[Symbol Pass/Fail]]="",Table1[[#This Row],[Footprint Pass/Fail]]=""),1,0)</f>
        <v>0</v>
      </c>
    </row>
    <row r="59" spans="1:23" x14ac:dyDescent="0.25">
      <c r="A59" s="60">
        <f t="shared" si="1"/>
        <v>54</v>
      </c>
      <c r="C59" s="69"/>
      <c r="D59" s="69"/>
      <c r="E59" s="29"/>
      <c r="F59" s="69"/>
      <c r="G59" s="29"/>
      <c r="I59" s="140"/>
      <c r="J59" s="127"/>
      <c r="K59" s="127"/>
      <c r="L59" s="1"/>
      <c r="M59" s="139"/>
      <c r="N59" s="141"/>
      <c r="O59" s="158"/>
      <c r="P59" s="141"/>
      <c r="Q59" s="140"/>
      <c r="R59" s="1"/>
      <c r="S59" s="150"/>
      <c r="T59" t="str">
        <f>IF(OR(Table1[[#This Row],[Database Pass/Fail]] = "Fail",Table1[[#This Row],[Symbol Pass/Fail]] = "Fail",Table1[[#This Row],[Footprint Pass/Fail]] = "Fail"), "Fail", "Pass")</f>
        <v>Pass</v>
      </c>
      <c r="U59" t="str">
        <f>IF(Table1[[#This Row],[Date Re-checked/Passed]] = "",T59,Q59)</f>
        <v>Pass</v>
      </c>
      <c r="V59" t="str">
        <f>IF(AND(Table1[[#This Row],[Part Num]]&lt;&gt;"",U59 = "Fail"), "Fail", "Pass")</f>
        <v>Pass</v>
      </c>
      <c r="W59">
        <f>IF(AND(Table1[[#This Row],[Part Num]]&lt;&gt;"",Table1[[#This Row],[Database Pass/Fail]]="",Table1[[#This Row],[Symbol Pass/Fail]]="",Table1[[#This Row],[Footprint Pass/Fail]]=""),1,0)</f>
        <v>0</v>
      </c>
    </row>
    <row r="60" spans="1:23" x14ac:dyDescent="0.25">
      <c r="A60" s="60">
        <f t="shared" si="1"/>
        <v>55</v>
      </c>
      <c r="C60" s="69"/>
      <c r="D60" s="69"/>
      <c r="E60" s="29"/>
      <c r="F60" s="69"/>
      <c r="G60" s="29"/>
      <c r="I60" s="140"/>
      <c r="J60" s="127"/>
      <c r="K60" s="127"/>
      <c r="L60" s="1"/>
      <c r="M60" s="139"/>
      <c r="N60" s="141"/>
      <c r="O60" s="158"/>
      <c r="P60" s="141"/>
      <c r="Q60" s="140"/>
      <c r="R60" s="1"/>
      <c r="S60" s="150"/>
      <c r="T60" t="str">
        <f>IF(OR(Table1[[#This Row],[Database Pass/Fail]] = "Fail",Table1[[#This Row],[Symbol Pass/Fail]] = "Fail",Table1[[#This Row],[Footprint Pass/Fail]] = "Fail"), "Fail", "Pass")</f>
        <v>Pass</v>
      </c>
      <c r="U60" t="str">
        <f>IF(Table1[[#This Row],[Date Re-checked/Passed]] = "",T60,Q60)</f>
        <v>Pass</v>
      </c>
      <c r="V60" t="str">
        <f>IF(AND(Table1[[#This Row],[Part Num]]&lt;&gt;"",U60 = "Fail"), "Fail", "Pass")</f>
        <v>Pass</v>
      </c>
      <c r="W60">
        <f>IF(AND(Table1[[#This Row],[Part Num]]&lt;&gt;"",Table1[[#This Row],[Database Pass/Fail]]="",Table1[[#This Row],[Symbol Pass/Fail]]="",Table1[[#This Row],[Footprint Pass/Fail]]=""),1,0)</f>
        <v>0</v>
      </c>
    </row>
    <row r="61" spans="1:23" x14ac:dyDescent="0.25">
      <c r="A61" s="60">
        <f t="shared" si="1"/>
        <v>56</v>
      </c>
      <c r="C61" s="69"/>
      <c r="D61" s="69"/>
      <c r="E61" s="29"/>
      <c r="F61" s="69"/>
      <c r="G61" s="29"/>
      <c r="I61" s="140"/>
      <c r="J61" s="127"/>
      <c r="K61" s="127"/>
      <c r="L61" s="1"/>
      <c r="M61" s="139"/>
      <c r="N61" s="141"/>
      <c r="O61" s="158"/>
      <c r="P61" s="141"/>
      <c r="Q61" s="140"/>
      <c r="R61" s="1"/>
      <c r="S61" s="150"/>
      <c r="T61" t="str">
        <f>IF(OR(Table1[[#This Row],[Database Pass/Fail]] = "Fail",Table1[[#This Row],[Symbol Pass/Fail]] = "Fail",Table1[[#This Row],[Footprint Pass/Fail]] = "Fail"), "Fail", "Pass")</f>
        <v>Pass</v>
      </c>
      <c r="U61" t="str">
        <f>IF(Table1[[#This Row],[Date Re-checked/Passed]] = "",T61,Q61)</f>
        <v>Pass</v>
      </c>
      <c r="V61" t="str">
        <f>IF(AND(Table1[[#This Row],[Part Num]]&lt;&gt;"",U61 = "Fail"), "Fail", "Pass")</f>
        <v>Pass</v>
      </c>
      <c r="W61">
        <f>IF(AND(Table1[[#This Row],[Part Num]]&lt;&gt;"",Table1[[#This Row],[Database Pass/Fail]]="",Table1[[#This Row],[Symbol Pass/Fail]]="",Table1[[#This Row],[Footprint Pass/Fail]]=""),1,0)</f>
        <v>0</v>
      </c>
    </row>
    <row r="62" spans="1:23" x14ac:dyDescent="0.25">
      <c r="A62" s="60">
        <f t="shared" si="1"/>
        <v>57</v>
      </c>
      <c r="C62" s="69"/>
      <c r="D62" s="69"/>
      <c r="E62" s="29"/>
      <c r="F62" s="69"/>
      <c r="G62" s="29"/>
      <c r="I62" s="140"/>
      <c r="J62" s="127"/>
      <c r="K62" s="127"/>
      <c r="L62" s="1"/>
      <c r="M62" s="139"/>
      <c r="N62" s="141"/>
      <c r="O62" s="158"/>
      <c r="P62" s="141"/>
      <c r="Q62" s="140"/>
      <c r="R62" s="1"/>
      <c r="S62" s="150"/>
      <c r="T62" t="str">
        <f>IF(OR(Table1[[#This Row],[Database Pass/Fail]] = "Fail",Table1[[#This Row],[Symbol Pass/Fail]] = "Fail",Table1[[#This Row],[Footprint Pass/Fail]] = "Fail"), "Fail", "Pass")</f>
        <v>Pass</v>
      </c>
      <c r="U62" t="str">
        <f>IF(Table1[[#This Row],[Date Re-checked/Passed]] = "",T62,Q62)</f>
        <v>Pass</v>
      </c>
      <c r="V62" t="str">
        <f>IF(AND(Table1[[#This Row],[Part Num]]&lt;&gt;"",U62 = "Fail"), "Fail", "Pass")</f>
        <v>Pass</v>
      </c>
      <c r="W62">
        <f>IF(AND(Table1[[#This Row],[Part Num]]&lt;&gt;"",Table1[[#This Row],[Database Pass/Fail]]="",Table1[[#This Row],[Symbol Pass/Fail]]="",Table1[[#This Row],[Footprint Pass/Fail]]=""),1,0)</f>
        <v>0</v>
      </c>
    </row>
    <row r="63" spans="1:23" x14ac:dyDescent="0.25">
      <c r="A63" s="60">
        <f t="shared" si="1"/>
        <v>58</v>
      </c>
      <c r="C63" s="69"/>
      <c r="D63" s="69"/>
      <c r="E63" s="29"/>
      <c r="F63" s="69"/>
      <c r="G63" s="29"/>
      <c r="I63" s="140"/>
      <c r="J63" s="127"/>
      <c r="K63" s="127"/>
      <c r="L63" s="1"/>
      <c r="M63" s="139"/>
      <c r="N63" s="141"/>
      <c r="O63" s="158"/>
      <c r="P63" s="141"/>
      <c r="Q63" s="140"/>
      <c r="R63" s="1"/>
      <c r="S63" s="150"/>
      <c r="T63" t="str">
        <f>IF(OR(Table1[[#This Row],[Database Pass/Fail]] = "Fail",Table1[[#This Row],[Symbol Pass/Fail]] = "Fail",Table1[[#This Row],[Footprint Pass/Fail]] = "Fail"), "Fail", "Pass")</f>
        <v>Pass</v>
      </c>
      <c r="U63" t="str">
        <f>IF(Table1[[#This Row],[Date Re-checked/Passed]] = "",T63,Q63)</f>
        <v>Pass</v>
      </c>
      <c r="V63" t="str">
        <f>IF(AND(Table1[[#This Row],[Part Num]]&lt;&gt;"",U63 = "Fail"), "Fail", "Pass")</f>
        <v>Pass</v>
      </c>
      <c r="W63">
        <f>IF(AND(Table1[[#This Row],[Part Num]]&lt;&gt;"",Table1[[#This Row],[Database Pass/Fail]]="",Table1[[#This Row],[Symbol Pass/Fail]]="",Table1[[#This Row],[Footprint Pass/Fail]]=""),1,0)</f>
        <v>0</v>
      </c>
    </row>
    <row r="64" spans="1:23" x14ac:dyDescent="0.25">
      <c r="A64" s="60">
        <f t="shared" si="1"/>
        <v>59</v>
      </c>
      <c r="C64" s="69"/>
      <c r="D64" s="69"/>
      <c r="E64" s="29"/>
      <c r="F64" s="69"/>
      <c r="G64" s="29"/>
      <c r="I64" s="140"/>
      <c r="J64" s="127"/>
      <c r="K64" s="127"/>
      <c r="L64" s="1"/>
      <c r="M64" s="139"/>
      <c r="N64" s="141"/>
      <c r="O64" s="158"/>
      <c r="P64" s="141"/>
      <c r="Q64" s="140"/>
      <c r="R64" s="1"/>
      <c r="S64" s="150"/>
      <c r="T64" t="str">
        <f>IF(OR(Table1[[#This Row],[Database Pass/Fail]] = "Fail",Table1[[#This Row],[Symbol Pass/Fail]] = "Fail",Table1[[#This Row],[Footprint Pass/Fail]] = "Fail"), "Fail", "Pass")</f>
        <v>Pass</v>
      </c>
      <c r="U64" t="str">
        <f>IF(Table1[[#This Row],[Date Re-checked/Passed]] = "",T64,Q64)</f>
        <v>Pass</v>
      </c>
      <c r="V64" t="str">
        <f>IF(AND(Table1[[#This Row],[Part Num]]&lt;&gt;"",U64 = "Fail"), "Fail", "Pass")</f>
        <v>Pass</v>
      </c>
      <c r="W64">
        <f>IF(AND(Table1[[#This Row],[Part Num]]&lt;&gt;"",Table1[[#This Row],[Database Pass/Fail]]="",Table1[[#This Row],[Symbol Pass/Fail]]="",Table1[[#This Row],[Footprint Pass/Fail]]=""),1,0)</f>
        <v>0</v>
      </c>
    </row>
    <row r="65" spans="1:23" x14ac:dyDescent="0.25">
      <c r="A65" s="60">
        <f t="shared" si="1"/>
        <v>60</v>
      </c>
      <c r="C65" s="69"/>
      <c r="D65" s="69"/>
      <c r="E65" s="29"/>
      <c r="F65" s="69"/>
      <c r="G65" s="29"/>
      <c r="I65" s="140"/>
      <c r="J65" s="127"/>
      <c r="K65" s="127"/>
      <c r="L65" s="1"/>
      <c r="M65" s="139"/>
      <c r="N65" s="141"/>
      <c r="O65" s="158"/>
      <c r="P65" s="141"/>
      <c r="Q65" s="140"/>
      <c r="R65" s="1"/>
      <c r="S65" s="150"/>
      <c r="T65" t="str">
        <f>IF(OR(Table1[[#This Row],[Database Pass/Fail]] = "Fail",Table1[[#This Row],[Symbol Pass/Fail]] = "Fail",Table1[[#This Row],[Footprint Pass/Fail]] = "Fail"), "Fail", "Pass")</f>
        <v>Pass</v>
      </c>
      <c r="U65" t="str">
        <f>IF(Table1[[#This Row],[Date Re-checked/Passed]] = "",T65,Q65)</f>
        <v>Pass</v>
      </c>
      <c r="V65" t="str">
        <f>IF(AND(Table1[[#This Row],[Part Num]]&lt;&gt;"",U65 = "Fail"), "Fail", "Pass")</f>
        <v>Pass</v>
      </c>
      <c r="W65">
        <f>IF(AND(Table1[[#This Row],[Part Num]]&lt;&gt;"",Table1[[#This Row],[Database Pass/Fail]]="",Table1[[#This Row],[Symbol Pass/Fail]]="",Table1[[#This Row],[Footprint Pass/Fail]]=""),1,0)</f>
        <v>0</v>
      </c>
    </row>
    <row r="66" spans="1:23" x14ac:dyDescent="0.25">
      <c r="A66" s="60">
        <f t="shared" si="1"/>
        <v>61</v>
      </c>
      <c r="C66" s="69"/>
      <c r="D66" s="69"/>
      <c r="E66" s="29"/>
      <c r="F66" s="69"/>
      <c r="G66" s="29"/>
      <c r="I66" s="140"/>
      <c r="J66" s="127"/>
      <c r="K66" s="127"/>
      <c r="L66" s="1"/>
      <c r="M66" s="139"/>
      <c r="N66" s="141"/>
      <c r="O66" s="158"/>
      <c r="P66" s="141"/>
      <c r="Q66" s="140"/>
      <c r="R66" s="1"/>
      <c r="S66" s="150"/>
      <c r="T66" t="str">
        <f>IF(OR(Table1[[#This Row],[Database Pass/Fail]] = "Fail",Table1[[#This Row],[Symbol Pass/Fail]] = "Fail",Table1[[#This Row],[Footprint Pass/Fail]] = "Fail"), "Fail", "Pass")</f>
        <v>Pass</v>
      </c>
      <c r="U66" t="str">
        <f>IF(Table1[[#This Row],[Date Re-checked/Passed]] = "",T66,Q66)</f>
        <v>Pass</v>
      </c>
      <c r="V66" t="str">
        <f>IF(AND(Table1[[#This Row],[Part Num]]&lt;&gt;"",U66 = "Fail"), "Fail", "Pass")</f>
        <v>Pass</v>
      </c>
      <c r="W66">
        <f>IF(AND(Table1[[#This Row],[Part Num]]&lt;&gt;"",Table1[[#This Row],[Database Pass/Fail]]="",Table1[[#This Row],[Symbol Pass/Fail]]="",Table1[[#This Row],[Footprint Pass/Fail]]=""),1,0)</f>
        <v>0</v>
      </c>
    </row>
    <row r="67" spans="1:23" x14ac:dyDescent="0.25">
      <c r="A67" s="60">
        <f t="shared" si="1"/>
        <v>62</v>
      </c>
      <c r="C67" s="69"/>
      <c r="D67" s="69"/>
      <c r="E67" s="29"/>
      <c r="F67" s="69"/>
      <c r="G67" s="29"/>
      <c r="I67" s="140"/>
      <c r="J67" s="127"/>
      <c r="K67" s="127"/>
      <c r="L67" s="1"/>
      <c r="M67" s="139"/>
      <c r="N67" s="141"/>
      <c r="O67" s="158"/>
      <c r="P67" s="141"/>
      <c r="Q67" s="140"/>
      <c r="R67" s="1"/>
      <c r="S67" s="150"/>
      <c r="T67" t="str">
        <f>IF(OR(Table1[[#This Row],[Database Pass/Fail]] = "Fail",Table1[[#This Row],[Symbol Pass/Fail]] = "Fail",Table1[[#This Row],[Footprint Pass/Fail]] = "Fail"), "Fail", "Pass")</f>
        <v>Pass</v>
      </c>
      <c r="U67" t="str">
        <f>IF(Table1[[#This Row],[Date Re-checked/Passed]] = "",T67,Q67)</f>
        <v>Pass</v>
      </c>
      <c r="V67" t="str">
        <f>IF(AND(Table1[[#This Row],[Part Num]]&lt;&gt;"",U67 = "Fail"), "Fail", "Pass")</f>
        <v>Pass</v>
      </c>
      <c r="W67">
        <f>IF(AND(Table1[[#This Row],[Part Num]]&lt;&gt;"",Table1[[#This Row],[Database Pass/Fail]]="",Table1[[#This Row],[Symbol Pass/Fail]]="",Table1[[#This Row],[Footprint Pass/Fail]]=""),1,0)</f>
        <v>0</v>
      </c>
    </row>
    <row r="68" spans="1:23" x14ac:dyDescent="0.25">
      <c r="A68" s="60">
        <f t="shared" si="1"/>
        <v>63</v>
      </c>
      <c r="C68" s="69"/>
      <c r="D68" s="69"/>
      <c r="E68" s="29"/>
      <c r="F68" s="69"/>
      <c r="G68" s="29"/>
      <c r="I68" s="140"/>
      <c r="J68" s="127"/>
      <c r="K68" s="127"/>
      <c r="L68" s="1"/>
      <c r="M68" s="139"/>
      <c r="N68" s="141"/>
      <c r="O68" s="158"/>
      <c r="P68" s="141"/>
      <c r="Q68" s="140"/>
      <c r="R68" s="1"/>
      <c r="S68" s="150"/>
      <c r="T68" t="str">
        <f>IF(OR(Table1[[#This Row],[Database Pass/Fail]] = "Fail",Table1[[#This Row],[Symbol Pass/Fail]] = "Fail",Table1[[#This Row],[Footprint Pass/Fail]] = "Fail"), "Fail", "Pass")</f>
        <v>Pass</v>
      </c>
      <c r="U68" t="str">
        <f>IF(Table1[[#This Row],[Date Re-checked/Passed]] = "",T68,Q68)</f>
        <v>Pass</v>
      </c>
      <c r="V68" t="str">
        <f>IF(AND(Table1[[#This Row],[Part Num]]&lt;&gt;"",U68 = "Fail"), "Fail", "Pass")</f>
        <v>Pass</v>
      </c>
      <c r="W68">
        <f>IF(AND(Table1[[#This Row],[Part Num]]&lt;&gt;"",Table1[[#This Row],[Database Pass/Fail]]="",Table1[[#This Row],[Symbol Pass/Fail]]="",Table1[[#This Row],[Footprint Pass/Fail]]=""),1,0)</f>
        <v>0</v>
      </c>
    </row>
    <row r="69" spans="1:23" x14ac:dyDescent="0.25">
      <c r="A69" s="60">
        <f t="shared" si="1"/>
        <v>64</v>
      </c>
      <c r="C69" s="69"/>
      <c r="D69" s="69"/>
      <c r="E69" s="29"/>
      <c r="F69" s="69"/>
      <c r="G69" s="29"/>
      <c r="I69" s="140"/>
      <c r="J69" s="127"/>
      <c r="K69" s="127"/>
      <c r="L69" s="1"/>
      <c r="M69" s="139"/>
      <c r="N69" s="141"/>
      <c r="O69" s="158"/>
      <c r="P69" s="141"/>
      <c r="Q69" s="140"/>
      <c r="R69" s="1"/>
      <c r="S69" s="150"/>
      <c r="T69" t="str">
        <f>IF(OR(Table1[[#This Row],[Database Pass/Fail]] = "Fail",Table1[[#This Row],[Symbol Pass/Fail]] = "Fail",Table1[[#This Row],[Footprint Pass/Fail]] = "Fail"), "Fail", "Pass")</f>
        <v>Pass</v>
      </c>
      <c r="U69" t="str">
        <f>IF(Table1[[#This Row],[Date Re-checked/Passed]] = "",T69,Q69)</f>
        <v>Pass</v>
      </c>
      <c r="V69" t="str">
        <f>IF(AND(Table1[[#This Row],[Part Num]]&lt;&gt;"",U69 = "Fail"), "Fail", "Pass")</f>
        <v>Pass</v>
      </c>
      <c r="W69">
        <f>IF(AND(Table1[[#This Row],[Part Num]]&lt;&gt;"",Table1[[#This Row],[Database Pass/Fail]]="",Table1[[#This Row],[Symbol Pass/Fail]]="",Table1[[#This Row],[Footprint Pass/Fail]]=""),1,0)</f>
        <v>0</v>
      </c>
    </row>
    <row r="70" spans="1:23" x14ac:dyDescent="0.25">
      <c r="A70" s="60">
        <f t="shared" si="1"/>
        <v>65</v>
      </c>
      <c r="C70" s="69"/>
      <c r="D70" s="69"/>
      <c r="E70" s="29"/>
      <c r="F70" s="69"/>
      <c r="G70" s="29"/>
      <c r="I70" s="140"/>
      <c r="J70" s="127"/>
      <c r="K70" s="127"/>
      <c r="L70" s="1"/>
      <c r="M70" s="139"/>
      <c r="N70" s="141"/>
      <c r="O70" s="158"/>
      <c r="P70" s="141"/>
      <c r="Q70" s="140"/>
      <c r="R70" s="1"/>
      <c r="S70" s="150"/>
      <c r="T70" t="str">
        <f>IF(OR(Table1[[#This Row],[Database Pass/Fail]] = "Fail",Table1[[#This Row],[Symbol Pass/Fail]] = "Fail",Table1[[#This Row],[Footprint Pass/Fail]] = "Fail"), "Fail", "Pass")</f>
        <v>Pass</v>
      </c>
      <c r="U70" t="str">
        <f>IF(Table1[[#This Row],[Date Re-checked/Passed]] = "",T70,Q70)</f>
        <v>Pass</v>
      </c>
      <c r="V70" t="str">
        <f>IF(AND(Table1[[#This Row],[Part Num]]&lt;&gt;"",U70 = "Fail"), "Fail", "Pass")</f>
        <v>Pass</v>
      </c>
      <c r="W70">
        <f>IF(AND(Table1[[#This Row],[Part Num]]&lt;&gt;"",Table1[[#This Row],[Database Pass/Fail]]="",Table1[[#This Row],[Symbol Pass/Fail]]="",Table1[[#This Row],[Footprint Pass/Fail]]=""),1,0)</f>
        <v>0</v>
      </c>
    </row>
    <row r="71" spans="1:23" x14ac:dyDescent="0.25">
      <c r="A71" s="60">
        <f t="shared" si="1"/>
        <v>66</v>
      </c>
      <c r="C71" s="69"/>
      <c r="D71" s="69"/>
      <c r="E71" s="29"/>
      <c r="F71" s="69"/>
      <c r="G71" s="29"/>
      <c r="I71" s="140"/>
      <c r="J71" s="127"/>
      <c r="K71" s="127"/>
      <c r="L71" s="1"/>
      <c r="M71" s="139"/>
      <c r="N71" s="141"/>
      <c r="O71" s="158"/>
      <c r="P71" s="141"/>
      <c r="Q71" s="140"/>
      <c r="R71" s="1"/>
      <c r="S71" s="150"/>
      <c r="T71" t="str">
        <f>IF(OR(Table1[[#This Row],[Database Pass/Fail]] = "Fail",Table1[[#This Row],[Symbol Pass/Fail]] = "Fail",Table1[[#This Row],[Footprint Pass/Fail]] = "Fail"), "Fail", "Pass")</f>
        <v>Pass</v>
      </c>
      <c r="U71" t="str">
        <f>IF(Table1[[#This Row],[Date Re-checked/Passed]] = "",T71,Q71)</f>
        <v>Pass</v>
      </c>
      <c r="V71" t="str">
        <f>IF(AND(Table1[[#This Row],[Part Num]]&lt;&gt;"",U71 = "Fail"), "Fail", "Pass")</f>
        <v>Pass</v>
      </c>
      <c r="W71">
        <f>IF(AND(Table1[[#This Row],[Part Num]]&lt;&gt;"",Table1[[#This Row],[Database Pass/Fail]]="",Table1[[#This Row],[Symbol Pass/Fail]]="",Table1[[#This Row],[Footprint Pass/Fail]]=""),1,0)</f>
        <v>0</v>
      </c>
    </row>
    <row r="72" spans="1:23" x14ac:dyDescent="0.25">
      <c r="A72" s="60">
        <f t="shared" si="1"/>
        <v>67</v>
      </c>
      <c r="C72" s="69"/>
      <c r="D72" s="69"/>
      <c r="E72" s="29"/>
      <c r="F72" s="69"/>
      <c r="G72" s="29"/>
      <c r="I72" s="140"/>
      <c r="J72" s="127"/>
      <c r="K72" s="127"/>
      <c r="L72" s="1"/>
      <c r="M72" s="139"/>
      <c r="N72" s="141"/>
      <c r="O72" s="158"/>
      <c r="P72" s="141"/>
      <c r="Q72" s="140"/>
      <c r="R72" s="1"/>
      <c r="S72" s="150"/>
      <c r="T72" t="str">
        <f>IF(OR(Table1[[#This Row],[Database Pass/Fail]] = "Fail",Table1[[#This Row],[Symbol Pass/Fail]] = "Fail",Table1[[#This Row],[Footprint Pass/Fail]] = "Fail"), "Fail", "Pass")</f>
        <v>Pass</v>
      </c>
      <c r="U72" t="str">
        <f>IF(Table1[[#This Row],[Date Re-checked/Passed]] = "",T72,Q72)</f>
        <v>Pass</v>
      </c>
      <c r="V72" t="str">
        <f>IF(AND(Table1[[#This Row],[Part Num]]&lt;&gt;"",U72 = "Fail"), "Fail", "Pass")</f>
        <v>Pass</v>
      </c>
      <c r="W72">
        <f>IF(AND(Table1[[#This Row],[Part Num]]&lt;&gt;"",Table1[[#This Row],[Database Pass/Fail]]="",Table1[[#This Row],[Symbol Pass/Fail]]="",Table1[[#This Row],[Footprint Pass/Fail]]=""),1,0)</f>
        <v>0</v>
      </c>
    </row>
    <row r="73" spans="1:23" x14ac:dyDescent="0.25">
      <c r="A73" s="60">
        <f t="shared" si="1"/>
        <v>68</v>
      </c>
      <c r="C73" s="69"/>
      <c r="D73" s="69"/>
      <c r="E73" s="29"/>
      <c r="F73" s="69"/>
      <c r="G73" s="29"/>
      <c r="I73" s="140"/>
      <c r="J73" s="127"/>
      <c r="K73" s="127"/>
      <c r="L73" s="1"/>
      <c r="M73" s="139"/>
      <c r="N73" s="141"/>
      <c r="O73" s="158"/>
      <c r="P73" s="141"/>
      <c r="Q73" s="140"/>
      <c r="R73" s="1"/>
      <c r="S73" s="150"/>
      <c r="T73" t="str">
        <f>IF(OR(Table1[[#This Row],[Database Pass/Fail]] = "Fail",Table1[[#This Row],[Symbol Pass/Fail]] = "Fail",Table1[[#This Row],[Footprint Pass/Fail]] = "Fail"), "Fail", "Pass")</f>
        <v>Pass</v>
      </c>
      <c r="U73" t="str">
        <f>IF(Table1[[#This Row],[Date Re-checked/Passed]] = "",T73,Q73)</f>
        <v>Pass</v>
      </c>
      <c r="V73" t="str">
        <f>IF(AND(Table1[[#This Row],[Part Num]]&lt;&gt;"",U73 = "Fail"), "Fail", "Pass")</f>
        <v>Pass</v>
      </c>
      <c r="W73">
        <f>IF(AND(Table1[[#This Row],[Part Num]]&lt;&gt;"",Table1[[#This Row],[Database Pass/Fail]]="",Table1[[#This Row],[Symbol Pass/Fail]]="",Table1[[#This Row],[Footprint Pass/Fail]]=""),1,0)</f>
        <v>0</v>
      </c>
    </row>
    <row r="74" spans="1:23" x14ac:dyDescent="0.25">
      <c r="A74" s="60">
        <f t="shared" si="1"/>
        <v>69</v>
      </c>
      <c r="C74" s="69"/>
      <c r="D74" s="69"/>
      <c r="E74" s="29"/>
      <c r="F74" s="69"/>
      <c r="G74" s="29"/>
      <c r="I74" s="140"/>
      <c r="J74" s="127"/>
      <c r="K74" s="127"/>
      <c r="L74" s="1"/>
      <c r="M74" s="139"/>
      <c r="N74" s="141"/>
      <c r="O74" s="158"/>
      <c r="P74" s="141"/>
      <c r="Q74" s="140"/>
      <c r="R74" s="1"/>
      <c r="S74" s="150"/>
      <c r="T74" t="str">
        <f>IF(OR(Table1[[#This Row],[Database Pass/Fail]] = "Fail",Table1[[#This Row],[Symbol Pass/Fail]] = "Fail",Table1[[#This Row],[Footprint Pass/Fail]] = "Fail"), "Fail", "Pass")</f>
        <v>Pass</v>
      </c>
      <c r="U74" t="str">
        <f>IF(Table1[[#This Row],[Date Re-checked/Passed]] = "",T74,Q74)</f>
        <v>Pass</v>
      </c>
      <c r="V74" t="str">
        <f>IF(AND(Table1[[#This Row],[Part Num]]&lt;&gt;"",U74 = "Fail"), "Fail", "Pass")</f>
        <v>Pass</v>
      </c>
      <c r="W74">
        <f>IF(AND(Table1[[#This Row],[Part Num]]&lt;&gt;"",Table1[[#This Row],[Database Pass/Fail]]="",Table1[[#This Row],[Symbol Pass/Fail]]="",Table1[[#This Row],[Footprint Pass/Fail]]=""),1,0)</f>
        <v>0</v>
      </c>
    </row>
    <row r="75" spans="1:23" x14ac:dyDescent="0.25">
      <c r="A75" s="60">
        <f t="shared" si="1"/>
        <v>70</v>
      </c>
      <c r="C75" s="69"/>
      <c r="D75" s="69"/>
      <c r="E75" s="29"/>
      <c r="F75" s="69"/>
      <c r="G75" s="29"/>
      <c r="I75" s="140"/>
      <c r="J75" s="127"/>
      <c r="K75" s="127"/>
      <c r="L75" s="1"/>
      <c r="M75" s="139"/>
      <c r="N75" s="141"/>
      <c r="O75" s="158"/>
      <c r="P75" s="141"/>
      <c r="Q75" s="140"/>
      <c r="R75" s="1"/>
      <c r="S75" s="150"/>
      <c r="T75" t="str">
        <f>IF(OR(Table1[[#This Row],[Database Pass/Fail]] = "Fail",Table1[[#This Row],[Symbol Pass/Fail]] = "Fail",Table1[[#This Row],[Footprint Pass/Fail]] = "Fail"), "Fail", "Pass")</f>
        <v>Pass</v>
      </c>
      <c r="U75" t="str">
        <f>IF(Table1[[#This Row],[Date Re-checked/Passed]] = "",T75,Q75)</f>
        <v>Pass</v>
      </c>
      <c r="V75" t="str">
        <f>IF(AND(Table1[[#This Row],[Part Num]]&lt;&gt;"",U75 = "Fail"), "Fail", "Pass")</f>
        <v>Pass</v>
      </c>
      <c r="W75">
        <f>IF(AND(Table1[[#This Row],[Part Num]]&lt;&gt;"",Table1[[#This Row],[Database Pass/Fail]]="",Table1[[#This Row],[Symbol Pass/Fail]]="",Table1[[#This Row],[Footprint Pass/Fail]]=""),1,0)</f>
        <v>0</v>
      </c>
    </row>
    <row r="76" spans="1:23" x14ac:dyDescent="0.25">
      <c r="A76" s="60">
        <f t="shared" si="1"/>
        <v>71</v>
      </c>
      <c r="C76" s="69"/>
      <c r="D76" s="69"/>
      <c r="E76" s="29"/>
      <c r="F76" s="69"/>
      <c r="G76" s="29"/>
      <c r="I76" s="140"/>
      <c r="J76" s="127"/>
      <c r="K76" s="127"/>
      <c r="L76" s="1"/>
      <c r="M76" s="139"/>
      <c r="N76" s="141"/>
      <c r="O76" s="158"/>
      <c r="P76" s="141"/>
      <c r="Q76" s="140"/>
      <c r="R76" s="1"/>
      <c r="S76" s="150"/>
      <c r="T76" t="str">
        <f>IF(OR(Table1[[#This Row],[Database Pass/Fail]] = "Fail",Table1[[#This Row],[Symbol Pass/Fail]] = "Fail",Table1[[#This Row],[Footprint Pass/Fail]] = "Fail"), "Fail", "Pass")</f>
        <v>Pass</v>
      </c>
      <c r="U76" t="str">
        <f>IF(Table1[[#This Row],[Date Re-checked/Passed]] = "",T76,Q76)</f>
        <v>Pass</v>
      </c>
      <c r="V76" t="str">
        <f>IF(AND(Table1[[#This Row],[Part Num]]&lt;&gt;"",U76 = "Fail"), "Fail", "Pass")</f>
        <v>Pass</v>
      </c>
      <c r="W76">
        <f>IF(AND(Table1[[#This Row],[Part Num]]&lt;&gt;"",Table1[[#This Row],[Database Pass/Fail]]="",Table1[[#This Row],[Symbol Pass/Fail]]="",Table1[[#This Row],[Footprint Pass/Fail]]=""),1,0)</f>
        <v>0</v>
      </c>
    </row>
    <row r="77" spans="1:23" x14ac:dyDescent="0.25">
      <c r="A77" s="60">
        <f t="shared" si="1"/>
        <v>72</v>
      </c>
      <c r="C77" s="69"/>
      <c r="D77" s="69"/>
      <c r="E77" s="29"/>
      <c r="F77" s="69"/>
      <c r="G77" s="29"/>
      <c r="I77" s="140"/>
      <c r="J77" s="127"/>
      <c r="K77" s="127"/>
      <c r="L77" s="1"/>
      <c r="M77" s="139"/>
      <c r="N77" s="141"/>
      <c r="O77" s="158"/>
      <c r="P77" s="141"/>
      <c r="Q77" s="140"/>
      <c r="R77" s="1"/>
      <c r="S77" s="150"/>
      <c r="T77" t="str">
        <f>IF(OR(Table1[[#This Row],[Database Pass/Fail]] = "Fail",Table1[[#This Row],[Symbol Pass/Fail]] = "Fail",Table1[[#This Row],[Footprint Pass/Fail]] = "Fail"), "Fail", "Pass")</f>
        <v>Pass</v>
      </c>
      <c r="U77" t="str">
        <f>IF(Table1[[#This Row],[Date Re-checked/Passed]] = "",T77,Q77)</f>
        <v>Pass</v>
      </c>
      <c r="V77" t="str">
        <f>IF(AND(Table1[[#This Row],[Part Num]]&lt;&gt;"",U77 = "Fail"), "Fail", "Pass")</f>
        <v>Pass</v>
      </c>
      <c r="W77">
        <f>IF(AND(Table1[[#This Row],[Part Num]]&lt;&gt;"",Table1[[#This Row],[Database Pass/Fail]]="",Table1[[#This Row],[Symbol Pass/Fail]]="",Table1[[#This Row],[Footprint Pass/Fail]]=""),1,0)</f>
        <v>0</v>
      </c>
    </row>
    <row r="78" spans="1:23" x14ac:dyDescent="0.25">
      <c r="A78" s="60">
        <f t="shared" si="1"/>
        <v>73</v>
      </c>
      <c r="C78" s="69"/>
      <c r="D78" s="69"/>
      <c r="E78" s="29"/>
      <c r="F78" s="69"/>
      <c r="G78" s="29"/>
      <c r="I78" s="140"/>
      <c r="J78" s="127"/>
      <c r="K78" s="127"/>
      <c r="L78" s="1"/>
      <c r="M78" s="139"/>
      <c r="N78" s="141"/>
      <c r="O78" s="158"/>
      <c r="P78" s="141"/>
      <c r="Q78" s="140"/>
      <c r="R78" s="1"/>
      <c r="S78" s="150"/>
      <c r="T78" t="str">
        <f>IF(OR(Table1[[#This Row],[Database Pass/Fail]] = "Fail",Table1[[#This Row],[Symbol Pass/Fail]] = "Fail",Table1[[#This Row],[Footprint Pass/Fail]] = "Fail"), "Fail", "Pass")</f>
        <v>Pass</v>
      </c>
      <c r="U78" t="str">
        <f>IF(Table1[[#This Row],[Date Re-checked/Passed]] = "",T78,Q78)</f>
        <v>Pass</v>
      </c>
      <c r="V78" t="str">
        <f>IF(AND(Table1[[#This Row],[Part Num]]&lt;&gt;"",U78 = "Fail"), "Fail", "Pass")</f>
        <v>Pass</v>
      </c>
      <c r="W78">
        <f>IF(AND(Table1[[#This Row],[Part Num]]&lt;&gt;"",Table1[[#This Row],[Database Pass/Fail]]="",Table1[[#This Row],[Symbol Pass/Fail]]="",Table1[[#This Row],[Footprint Pass/Fail]]=""),1,0)</f>
        <v>0</v>
      </c>
    </row>
    <row r="79" spans="1:23" x14ac:dyDescent="0.25">
      <c r="A79" s="60">
        <f t="shared" ref="A79:A104" si="2">A78+1</f>
        <v>74</v>
      </c>
      <c r="C79" s="69"/>
      <c r="D79" s="69"/>
      <c r="E79" s="29"/>
      <c r="F79" s="69"/>
      <c r="G79" s="29"/>
      <c r="I79" s="140"/>
      <c r="J79" s="127"/>
      <c r="K79" s="127"/>
      <c r="L79" s="1"/>
      <c r="M79" s="139"/>
      <c r="N79" s="141"/>
      <c r="O79" s="158"/>
      <c r="P79" s="141"/>
      <c r="Q79" s="140"/>
      <c r="R79" s="1"/>
      <c r="S79" s="150"/>
      <c r="T79" t="str">
        <f>IF(OR(Table1[[#This Row],[Database Pass/Fail]] = "Fail",Table1[[#This Row],[Symbol Pass/Fail]] = "Fail",Table1[[#This Row],[Footprint Pass/Fail]] = "Fail"), "Fail", "Pass")</f>
        <v>Pass</v>
      </c>
      <c r="U79" t="str">
        <f>IF(Table1[[#This Row],[Date Re-checked/Passed]] = "",T79,Q79)</f>
        <v>Pass</v>
      </c>
      <c r="V79" t="str">
        <f>IF(AND(Table1[[#This Row],[Part Num]]&lt;&gt;"",U79 = "Fail"), "Fail", "Pass")</f>
        <v>Pass</v>
      </c>
      <c r="W79">
        <f>IF(AND(Table1[[#This Row],[Part Num]]&lt;&gt;"",Table1[[#This Row],[Database Pass/Fail]]="",Table1[[#This Row],[Symbol Pass/Fail]]="",Table1[[#This Row],[Footprint Pass/Fail]]=""),1,0)</f>
        <v>0</v>
      </c>
    </row>
    <row r="80" spans="1:23" x14ac:dyDescent="0.25">
      <c r="A80" s="60">
        <f t="shared" si="2"/>
        <v>75</v>
      </c>
      <c r="C80" s="69"/>
      <c r="D80" s="69"/>
      <c r="E80" s="29"/>
      <c r="F80" s="69"/>
      <c r="G80" s="29"/>
      <c r="I80" s="140"/>
      <c r="J80" s="127"/>
      <c r="K80" s="127"/>
      <c r="L80" s="1"/>
      <c r="M80" s="139"/>
      <c r="N80" s="141"/>
      <c r="O80" s="158"/>
      <c r="P80" s="141"/>
      <c r="Q80" s="140"/>
      <c r="R80" s="1"/>
      <c r="S80" s="150"/>
      <c r="T80" t="str">
        <f>IF(OR(Table1[[#This Row],[Database Pass/Fail]] = "Fail",Table1[[#This Row],[Symbol Pass/Fail]] = "Fail",Table1[[#This Row],[Footprint Pass/Fail]] = "Fail"), "Fail", "Pass")</f>
        <v>Pass</v>
      </c>
      <c r="U80" t="str">
        <f>IF(Table1[[#This Row],[Date Re-checked/Passed]] = "",T80,Q80)</f>
        <v>Pass</v>
      </c>
      <c r="V80" t="str">
        <f>IF(AND(Table1[[#This Row],[Part Num]]&lt;&gt;"",U80 = "Fail"), "Fail", "Pass")</f>
        <v>Pass</v>
      </c>
      <c r="W80">
        <f>IF(AND(Table1[[#This Row],[Part Num]]&lt;&gt;"",Table1[[#This Row],[Database Pass/Fail]]="",Table1[[#This Row],[Symbol Pass/Fail]]="",Table1[[#This Row],[Footprint Pass/Fail]]=""),1,0)</f>
        <v>0</v>
      </c>
    </row>
    <row r="81" spans="1:23" x14ac:dyDescent="0.25">
      <c r="A81" s="60">
        <f t="shared" si="2"/>
        <v>76</v>
      </c>
      <c r="C81" s="69"/>
      <c r="D81" s="69"/>
      <c r="E81" s="29"/>
      <c r="F81" s="69"/>
      <c r="G81" s="29"/>
      <c r="I81" s="140"/>
      <c r="J81" s="127"/>
      <c r="K81" s="127"/>
      <c r="L81" s="1"/>
      <c r="M81" s="139"/>
      <c r="N81" s="141"/>
      <c r="O81" s="158"/>
      <c r="P81" s="141"/>
      <c r="Q81" s="140"/>
      <c r="R81" s="1"/>
      <c r="S81" s="150"/>
      <c r="T81" t="str">
        <f>IF(OR(Table1[[#This Row],[Database Pass/Fail]] = "Fail",Table1[[#This Row],[Symbol Pass/Fail]] = "Fail",Table1[[#This Row],[Footprint Pass/Fail]] = "Fail"), "Fail", "Pass")</f>
        <v>Pass</v>
      </c>
      <c r="U81" t="str">
        <f>IF(Table1[[#This Row],[Date Re-checked/Passed]] = "",T81,Q81)</f>
        <v>Pass</v>
      </c>
      <c r="V81" t="str">
        <f>IF(AND(Table1[[#This Row],[Part Num]]&lt;&gt;"",U81 = "Fail"), "Fail", "Pass")</f>
        <v>Pass</v>
      </c>
      <c r="W81">
        <f>IF(AND(Table1[[#This Row],[Part Num]]&lt;&gt;"",Table1[[#This Row],[Database Pass/Fail]]="",Table1[[#This Row],[Symbol Pass/Fail]]="",Table1[[#This Row],[Footprint Pass/Fail]]=""),1,0)</f>
        <v>0</v>
      </c>
    </row>
    <row r="82" spans="1:23" x14ac:dyDescent="0.25">
      <c r="A82" s="60">
        <f t="shared" si="2"/>
        <v>77</v>
      </c>
      <c r="C82" s="69"/>
      <c r="D82" s="69"/>
      <c r="E82" s="29"/>
      <c r="F82" s="69"/>
      <c r="G82" s="29"/>
      <c r="I82" s="140"/>
      <c r="J82" s="127"/>
      <c r="K82" s="127"/>
      <c r="L82" s="1"/>
      <c r="M82" s="139"/>
      <c r="N82" s="141"/>
      <c r="O82" s="158"/>
      <c r="P82" s="141"/>
      <c r="Q82" s="140"/>
      <c r="R82" s="1"/>
      <c r="S82" s="150"/>
      <c r="T82" t="str">
        <f>IF(OR(Table1[[#This Row],[Database Pass/Fail]] = "Fail",Table1[[#This Row],[Symbol Pass/Fail]] = "Fail",Table1[[#This Row],[Footprint Pass/Fail]] = "Fail"), "Fail", "Pass")</f>
        <v>Pass</v>
      </c>
      <c r="U82" t="str">
        <f>IF(Table1[[#This Row],[Date Re-checked/Passed]] = "",T82,Q82)</f>
        <v>Pass</v>
      </c>
      <c r="V82" t="str">
        <f>IF(AND(Table1[[#This Row],[Part Num]]&lt;&gt;"",U82 = "Fail"), "Fail", "Pass")</f>
        <v>Pass</v>
      </c>
      <c r="W82">
        <f>IF(AND(Table1[[#This Row],[Part Num]]&lt;&gt;"",Table1[[#This Row],[Database Pass/Fail]]="",Table1[[#This Row],[Symbol Pass/Fail]]="",Table1[[#This Row],[Footprint Pass/Fail]]=""),1,0)</f>
        <v>0</v>
      </c>
    </row>
    <row r="83" spans="1:23" x14ac:dyDescent="0.25">
      <c r="A83" s="60">
        <f t="shared" si="2"/>
        <v>78</v>
      </c>
      <c r="C83" s="69"/>
      <c r="D83" s="69"/>
      <c r="E83" s="29"/>
      <c r="F83" s="69"/>
      <c r="G83" s="29"/>
      <c r="I83" s="140"/>
      <c r="J83" s="127"/>
      <c r="K83" s="127"/>
      <c r="L83" s="1"/>
      <c r="M83" s="139"/>
      <c r="N83" s="141"/>
      <c r="O83" s="158"/>
      <c r="P83" s="141"/>
      <c r="Q83" s="140"/>
      <c r="R83" s="1"/>
      <c r="S83" s="150"/>
      <c r="T83" t="str">
        <f>IF(OR(Table1[[#This Row],[Database Pass/Fail]] = "Fail",Table1[[#This Row],[Symbol Pass/Fail]] = "Fail",Table1[[#This Row],[Footprint Pass/Fail]] = "Fail"), "Fail", "Pass")</f>
        <v>Pass</v>
      </c>
      <c r="U83" t="str">
        <f>IF(Table1[[#This Row],[Date Re-checked/Passed]] = "",T83,Q83)</f>
        <v>Pass</v>
      </c>
      <c r="V83" t="str">
        <f>IF(AND(Table1[[#This Row],[Part Num]]&lt;&gt;"",U83 = "Fail"), "Fail", "Pass")</f>
        <v>Pass</v>
      </c>
      <c r="W83">
        <f>IF(AND(Table1[[#This Row],[Part Num]]&lt;&gt;"",Table1[[#This Row],[Database Pass/Fail]]="",Table1[[#This Row],[Symbol Pass/Fail]]="",Table1[[#This Row],[Footprint Pass/Fail]]=""),1,0)</f>
        <v>0</v>
      </c>
    </row>
    <row r="84" spans="1:23" x14ac:dyDescent="0.25">
      <c r="A84" s="60">
        <f t="shared" si="2"/>
        <v>79</v>
      </c>
      <c r="C84" s="69"/>
      <c r="D84" s="69"/>
      <c r="E84" s="29"/>
      <c r="F84" s="69"/>
      <c r="G84" s="29"/>
      <c r="I84" s="140"/>
      <c r="J84" s="127"/>
      <c r="K84" s="127"/>
      <c r="L84" s="1"/>
      <c r="M84" s="139"/>
      <c r="N84" s="141"/>
      <c r="O84" s="158"/>
      <c r="P84" s="141"/>
      <c r="Q84" s="140"/>
      <c r="R84" s="1"/>
      <c r="S84" s="150"/>
      <c r="T84" t="str">
        <f>IF(OR(Table1[[#This Row],[Database Pass/Fail]] = "Fail",Table1[[#This Row],[Symbol Pass/Fail]] = "Fail",Table1[[#This Row],[Footprint Pass/Fail]] = "Fail"), "Fail", "Pass")</f>
        <v>Pass</v>
      </c>
      <c r="U84" t="str">
        <f>IF(Table1[[#This Row],[Date Re-checked/Passed]] = "",T84,Q84)</f>
        <v>Pass</v>
      </c>
      <c r="V84" t="str">
        <f>IF(AND(Table1[[#This Row],[Part Num]]&lt;&gt;"",U84 = "Fail"), "Fail", "Pass")</f>
        <v>Pass</v>
      </c>
      <c r="W84">
        <f>IF(AND(Table1[[#This Row],[Part Num]]&lt;&gt;"",Table1[[#This Row],[Database Pass/Fail]]="",Table1[[#This Row],[Symbol Pass/Fail]]="",Table1[[#This Row],[Footprint Pass/Fail]]=""),1,0)</f>
        <v>0</v>
      </c>
    </row>
    <row r="85" spans="1:23" x14ac:dyDescent="0.25">
      <c r="A85" s="60">
        <f t="shared" si="2"/>
        <v>80</v>
      </c>
      <c r="C85" s="69"/>
      <c r="D85" s="69"/>
      <c r="E85" s="29"/>
      <c r="F85" s="69"/>
      <c r="G85" s="29"/>
      <c r="I85" s="140"/>
      <c r="J85" s="127"/>
      <c r="K85" s="127"/>
      <c r="L85" s="1"/>
      <c r="M85" s="139"/>
      <c r="N85" s="141"/>
      <c r="O85" s="158"/>
      <c r="P85" s="141"/>
      <c r="Q85" s="140"/>
      <c r="R85" s="1"/>
      <c r="S85" s="150"/>
      <c r="T85" t="str">
        <f>IF(OR(Table1[[#This Row],[Database Pass/Fail]] = "Fail",Table1[[#This Row],[Symbol Pass/Fail]] = "Fail",Table1[[#This Row],[Footprint Pass/Fail]] = "Fail"), "Fail", "Pass")</f>
        <v>Pass</v>
      </c>
      <c r="U85" t="str">
        <f>IF(Table1[[#This Row],[Date Re-checked/Passed]] = "",T85,Q85)</f>
        <v>Pass</v>
      </c>
      <c r="V85" t="str">
        <f>IF(AND(Table1[[#This Row],[Part Num]]&lt;&gt;"",U85 = "Fail"), "Fail", "Pass")</f>
        <v>Pass</v>
      </c>
      <c r="W85">
        <f>IF(AND(Table1[[#This Row],[Part Num]]&lt;&gt;"",Table1[[#This Row],[Database Pass/Fail]]="",Table1[[#This Row],[Symbol Pass/Fail]]="",Table1[[#This Row],[Footprint Pass/Fail]]=""),1,0)</f>
        <v>0</v>
      </c>
    </row>
    <row r="86" spans="1:23" x14ac:dyDescent="0.25">
      <c r="A86" s="60">
        <f t="shared" si="2"/>
        <v>81</v>
      </c>
      <c r="C86" s="69"/>
      <c r="D86" s="69"/>
      <c r="E86" s="29"/>
      <c r="F86" s="69"/>
      <c r="G86" s="29"/>
      <c r="I86" s="140"/>
      <c r="J86" s="127"/>
      <c r="K86" s="127"/>
      <c r="L86" s="1"/>
      <c r="M86" s="139"/>
      <c r="N86" s="141"/>
      <c r="O86" s="158"/>
      <c r="P86" s="141"/>
      <c r="Q86" s="140"/>
      <c r="R86" s="1"/>
      <c r="S86" s="150"/>
      <c r="T86" t="str">
        <f>IF(OR(Table1[[#This Row],[Database Pass/Fail]] = "Fail",Table1[[#This Row],[Symbol Pass/Fail]] = "Fail",Table1[[#This Row],[Footprint Pass/Fail]] = "Fail"), "Fail", "Pass")</f>
        <v>Pass</v>
      </c>
      <c r="U86" t="str">
        <f>IF(Table1[[#This Row],[Date Re-checked/Passed]] = "",T86,Q86)</f>
        <v>Pass</v>
      </c>
      <c r="V86" t="str">
        <f>IF(AND(Table1[[#This Row],[Part Num]]&lt;&gt;"",U86 = "Fail"), "Fail", "Pass")</f>
        <v>Pass</v>
      </c>
      <c r="W86">
        <f>IF(AND(Table1[[#This Row],[Part Num]]&lt;&gt;"",Table1[[#This Row],[Database Pass/Fail]]="",Table1[[#This Row],[Symbol Pass/Fail]]="",Table1[[#This Row],[Footprint Pass/Fail]]=""),1,0)</f>
        <v>0</v>
      </c>
    </row>
    <row r="87" spans="1:23" x14ac:dyDescent="0.25">
      <c r="A87" s="60">
        <f t="shared" si="2"/>
        <v>82</v>
      </c>
      <c r="C87" s="69"/>
      <c r="D87" s="69"/>
      <c r="E87" s="29"/>
      <c r="F87" s="69"/>
      <c r="G87" s="29"/>
      <c r="I87" s="140"/>
      <c r="J87" s="127"/>
      <c r="K87" s="127"/>
      <c r="L87" s="1"/>
      <c r="M87" s="139"/>
      <c r="N87" s="141"/>
      <c r="O87" s="158"/>
      <c r="P87" s="141"/>
      <c r="Q87" s="140"/>
      <c r="R87" s="1"/>
      <c r="S87" s="150"/>
      <c r="T87" t="str">
        <f>IF(OR(Table1[[#This Row],[Database Pass/Fail]] = "Fail",Table1[[#This Row],[Symbol Pass/Fail]] = "Fail",Table1[[#This Row],[Footprint Pass/Fail]] = "Fail"), "Fail", "Pass")</f>
        <v>Pass</v>
      </c>
      <c r="U87" t="str">
        <f>IF(Table1[[#This Row],[Date Re-checked/Passed]] = "",T87,Q87)</f>
        <v>Pass</v>
      </c>
      <c r="V87" t="str">
        <f>IF(AND(Table1[[#This Row],[Part Num]]&lt;&gt;"",U87 = "Fail"), "Fail", "Pass")</f>
        <v>Pass</v>
      </c>
      <c r="W87">
        <f>IF(AND(Table1[[#This Row],[Part Num]]&lt;&gt;"",Table1[[#This Row],[Database Pass/Fail]]="",Table1[[#This Row],[Symbol Pass/Fail]]="",Table1[[#This Row],[Footprint Pass/Fail]]=""),1,0)</f>
        <v>0</v>
      </c>
    </row>
    <row r="88" spans="1:23" x14ac:dyDescent="0.25">
      <c r="A88" s="60">
        <f t="shared" si="2"/>
        <v>83</v>
      </c>
      <c r="C88" s="69"/>
      <c r="D88" s="69"/>
      <c r="E88" s="29"/>
      <c r="F88" s="69"/>
      <c r="G88" s="29"/>
      <c r="I88" s="140"/>
      <c r="J88" s="127"/>
      <c r="K88" s="127"/>
      <c r="L88" s="1"/>
      <c r="M88" s="139"/>
      <c r="N88" s="141"/>
      <c r="O88" s="158"/>
      <c r="P88" s="141"/>
      <c r="Q88" s="140"/>
      <c r="R88" s="1"/>
      <c r="S88" s="150"/>
      <c r="T88" t="str">
        <f>IF(OR(Table1[[#This Row],[Database Pass/Fail]] = "Fail",Table1[[#This Row],[Symbol Pass/Fail]] = "Fail",Table1[[#This Row],[Footprint Pass/Fail]] = "Fail"), "Fail", "Pass")</f>
        <v>Pass</v>
      </c>
      <c r="U88" t="str">
        <f>IF(Table1[[#This Row],[Date Re-checked/Passed]] = "",T88,Q88)</f>
        <v>Pass</v>
      </c>
      <c r="V88" t="str">
        <f>IF(AND(Table1[[#This Row],[Part Num]]&lt;&gt;"",U88 = "Fail"), "Fail", "Pass")</f>
        <v>Pass</v>
      </c>
      <c r="W88">
        <f>IF(AND(Table1[[#This Row],[Part Num]]&lt;&gt;"",Table1[[#This Row],[Database Pass/Fail]]="",Table1[[#This Row],[Symbol Pass/Fail]]="",Table1[[#This Row],[Footprint Pass/Fail]]=""),1,0)</f>
        <v>0</v>
      </c>
    </row>
    <row r="89" spans="1:23" x14ac:dyDescent="0.25">
      <c r="A89" s="60">
        <f t="shared" si="2"/>
        <v>84</v>
      </c>
      <c r="C89" s="69"/>
      <c r="D89" s="69"/>
      <c r="E89" s="29"/>
      <c r="F89" s="69"/>
      <c r="G89" s="29"/>
      <c r="I89" s="140"/>
      <c r="J89" s="127"/>
      <c r="K89" s="127"/>
      <c r="L89" s="1"/>
      <c r="M89" s="139"/>
      <c r="N89" s="141"/>
      <c r="O89" s="158"/>
      <c r="P89" s="141"/>
      <c r="Q89" s="140"/>
      <c r="R89" s="1"/>
      <c r="S89" s="150"/>
      <c r="T89" t="str">
        <f>IF(OR(Table1[[#This Row],[Database Pass/Fail]] = "Fail",Table1[[#This Row],[Symbol Pass/Fail]] = "Fail",Table1[[#This Row],[Footprint Pass/Fail]] = "Fail"), "Fail", "Pass")</f>
        <v>Pass</v>
      </c>
      <c r="U89" t="str">
        <f>IF(Table1[[#This Row],[Date Re-checked/Passed]] = "",T89,Q89)</f>
        <v>Pass</v>
      </c>
      <c r="V89" t="str">
        <f>IF(AND(Table1[[#This Row],[Part Num]]&lt;&gt;"",U89 = "Fail"), "Fail", "Pass")</f>
        <v>Pass</v>
      </c>
      <c r="W89">
        <f>IF(AND(Table1[[#This Row],[Part Num]]&lt;&gt;"",Table1[[#This Row],[Database Pass/Fail]]="",Table1[[#This Row],[Symbol Pass/Fail]]="",Table1[[#This Row],[Footprint Pass/Fail]]=""),1,0)</f>
        <v>0</v>
      </c>
    </row>
    <row r="90" spans="1:23" x14ac:dyDescent="0.25">
      <c r="A90" s="60">
        <f t="shared" si="2"/>
        <v>85</v>
      </c>
      <c r="C90" s="69"/>
      <c r="D90" s="69"/>
      <c r="E90" s="29"/>
      <c r="F90" s="69"/>
      <c r="G90" s="29"/>
      <c r="I90" s="140"/>
      <c r="J90" s="127"/>
      <c r="K90" s="127"/>
      <c r="L90" s="1"/>
      <c r="M90" s="139"/>
      <c r="N90" s="141"/>
      <c r="O90" s="158"/>
      <c r="P90" s="141"/>
      <c r="Q90" s="140"/>
      <c r="R90" s="1"/>
      <c r="S90" s="150"/>
      <c r="T90" t="str">
        <f>IF(OR(Table1[[#This Row],[Database Pass/Fail]] = "Fail",Table1[[#This Row],[Symbol Pass/Fail]] = "Fail",Table1[[#This Row],[Footprint Pass/Fail]] = "Fail"), "Fail", "Pass")</f>
        <v>Pass</v>
      </c>
      <c r="U90" t="str">
        <f>IF(Table1[[#This Row],[Date Re-checked/Passed]] = "",T90,Q90)</f>
        <v>Pass</v>
      </c>
      <c r="V90" t="str">
        <f>IF(AND(Table1[[#This Row],[Part Num]]&lt;&gt;"",U90 = "Fail"), "Fail", "Pass")</f>
        <v>Pass</v>
      </c>
      <c r="W90">
        <f>IF(AND(Table1[[#This Row],[Part Num]]&lt;&gt;"",Table1[[#This Row],[Database Pass/Fail]]="",Table1[[#This Row],[Symbol Pass/Fail]]="",Table1[[#This Row],[Footprint Pass/Fail]]=""),1,0)</f>
        <v>0</v>
      </c>
    </row>
    <row r="91" spans="1:23" x14ac:dyDescent="0.25">
      <c r="A91" s="60">
        <f t="shared" si="2"/>
        <v>86</v>
      </c>
      <c r="E91" s="29"/>
      <c r="G91" s="29"/>
      <c r="I91" s="140"/>
      <c r="J91" s="127"/>
      <c r="K91" s="127"/>
      <c r="L91" s="1"/>
      <c r="M91" s="139"/>
      <c r="N91" s="141"/>
      <c r="O91" s="158"/>
      <c r="P91" s="141"/>
      <c r="Q91" s="140"/>
      <c r="R91" s="1"/>
      <c r="S91" s="150"/>
      <c r="T91" t="str">
        <f>IF(OR(Table1[[#This Row],[Database Pass/Fail]] = "Fail",Table1[[#This Row],[Symbol Pass/Fail]] = "Fail",Table1[[#This Row],[Footprint Pass/Fail]] = "Fail"), "Fail", "Pass")</f>
        <v>Pass</v>
      </c>
      <c r="U91" t="str">
        <f>IF(Table1[[#This Row],[Date Re-checked/Passed]] = "",T91,Q91)</f>
        <v>Pass</v>
      </c>
      <c r="V91" t="str">
        <f>IF(AND(Table1[[#This Row],[Part Num]]&lt;&gt;"",U91 = "Fail"), "Fail", "Pass")</f>
        <v>Pass</v>
      </c>
      <c r="W91">
        <f>IF(AND(Table1[[#This Row],[Part Num]]&lt;&gt;"",Table1[[#This Row],[Database Pass/Fail]]="",Table1[[#This Row],[Symbol Pass/Fail]]="",Table1[[#This Row],[Footprint Pass/Fail]]=""),1,0)</f>
        <v>0</v>
      </c>
    </row>
    <row r="92" spans="1:23" x14ac:dyDescent="0.25">
      <c r="A92" s="60">
        <f t="shared" si="2"/>
        <v>87</v>
      </c>
      <c r="E92" s="29"/>
      <c r="G92" s="29"/>
      <c r="I92" s="140"/>
      <c r="J92" s="127"/>
      <c r="K92" s="127"/>
      <c r="L92" s="1"/>
      <c r="M92" s="139"/>
      <c r="N92" s="141"/>
      <c r="O92" s="158"/>
      <c r="P92" s="141"/>
      <c r="Q92" s="140"/>
      <c r="R92" s="1"/>
      <c r="S92" s="150"/>
      <c r="T92" t="str">
        <f>IF(OR(Table1[[#This Row],[Database Pass/Fail]] = "Fail",Table1[[#This Row],[Symbol Pass/Fail]] = "Fail",Table1[[#This Row],[Footprint Pass/Fail]] = "Fail"), "Fail", "Pass")</f>
        <v>Pass</v>
      </c>
      <c r="U92" t="str">
        <f>IF(Table1[[#This Row],[Date Re-checked/Passed]] = "",T92,Q92)</f>
        <v>Pass</v>
      </c>
      <c r="V92" t="str">
        <f>IF(AND(Table1[[#This Row],[Part Num]]&lt;&gt;"",U92 = "Fail"), "Fail", "Pass")</f>
        <v>Pass</v>
      </c>
      <c r="W92">
        <f>IF(AND(Table1[[#This Row],[Part Num]]&lt;&gt;"",Table1[[#This Row],[Database Pass/Fail]]="",Table1[[#This Row],[Symbol Pass/Fail]]="",Table1[[#This Row],[Footprint Pass/Fail]]=""),1,0)</f>
        <v>0</v>
      </c>
    </row>
    <row r="93" spans="1:23" x14ac:dyDescent="0.25">
      <c r="A93" s="60">
        <f t="shared" si="2"/>
        <v>88</v>
      </c>
      <c r="E93" s="29"/>
      <c r="G93" s="29"/>
      <c r="I93" s="140"/>
      <c r="J93" s="127"/>
      <c r="K93" s="127"/>
      <c r="L93" s="1"/>
      <c r="M93" s="139"/>
      <c r="N93" s="141"/>
      <c r="O93" s="158"/>
      <c r="P93" s="141"/>
      <c r="Q93" s="140"/>
      <c r="R93" s="1"/>
      <c r="S93" s="150"/>
      <c r="T93" t="str">
        <f>IF(OR(Table1[[#This Row],[Database Pass/Fail]] = "Fail",Table1[[#This Row],[Symbol Pass/Fail]] = "Fail",Table1[[#This Row],[Footprint Pass/Fail]] = "Fail"), "Fail", "Pass")</f>
        <v>Pass</v>
      </c>
      <c r="U93" t="str">
        <f>IF(Table1[[#This Row],[Date Re-checked/Passed]] = "",T93,Q93)</f>
        <v>Pass</v>
      </c>
      <c r="V93" t="str">
        <f>IF(AND(Table1[[#This Row],[Part Num]]&lt;&gt;"",U93 = "Fail"), "Fail", "Pass")</f>
        <v>Pass</v>
      </c>
      <c r="W93">
        <f>IF(AND(Table1[[#This Row],[Part Num]]&lt;&gt;"",Table1[[#This Row],[Database Pass/Fail]]="",Table1[[#This Row],[Symbol Pass/Fail]]="",Table1[[#This Row],[Footprint Pass/Fail]]=""),1,0)</f>
        <v>0</v>
      </c>
    </row>
    <row r="94" spans="1:23" x14ac:dyDescent="0.25">
      <c r="A94" s="60">
        <f t="shared" si="2"/>
        <v>89</v>
      </c>
      <c r="E94" s="29"/>
      <c r="G94" s="29"/>
      <c r="I94" s="140"/>
      <c r="J94" s="127"/>
      <c r="K94" s="127"/>
      <c r="L94" s="1"/>
      <c r="M94" s="139"/>
      <c r="N94" s="141"/>
      <c r="O94" s="158"/>
      <c r="P94" s="141"/>
      <c r="Q94" s="140"/>
      <c r="R94" s="1"/>
      <c r="S94" s="150"/>
      <c r="T94" t="str">
        <f>IF(OR(Table1[[#This Row],[Database Pass/Fail]] = "Fail",Table1[[#This Row],[Symbol Pass/Fail]] = "Fail",Table1[[#This Row],[Footprint Pass/Fail]] = "Fail"), "Fail", "Pass")</f>
        <v>Pass</v>
      </c>
      <c r="U94" t="str">
        <f>IF(Table1[[#This Row],[Date Re-checked/Passed]] = "",T94,Q94)</f>
        <v>Pass</v>
      </c>
      <c r="V94" t="str">
        <f>IF(AND(Table1[[#This Row],[Part Num]]&lt;&gt;"",U94 = "Fail"), "Fail", "Pass")</f>
        <v>Pass</v>
      </c>
      <c r="W94">
        <f>IF(AND(Table1[[#This Row],[Part Num]]&lt;&gt;"",Table1[[#This Row],[Database Pass/Fail]]="",Table1[[#This Row],[Symbol Pass/Fail]]="",Table1[[#This Row],[Footprint Pass/Fail]]=""),1,0)</f>
        <v>0</v>
      </c>
    </row>
    <row r="95" spans="1:23" x14ac:dyDescent="0.25">
      <c r="A95" s="60">
        <f t="shared" si="2"/>
        <v>90</v>
      </c>
      <c r="E95" s="29"/>
      <c r="G95" s="29"/>
      <c r="I95" s="140"/>
      <c r="J95" s="127"/>
      <c r="K95" s="127"/>
      <c r="L95" s="1"/>
      <c r="M95" s="139"/>
      <c r="N95" s="141"/>
      <c r="O95" s="158"/>
      <c r="P95" s="141"/>
      <c r="Q95" s="140"/>
      <c r="R95" s="1"/>
      <c r="S95" s="150"/>
      <c r="T95" t="str">
        <f>IF(OR(Table1[[#This Row],[Database Pass/Fail]] = "Fail",Table1[[#This Row],[Symbol Pass/Fail]] = "Fail",Table1[[#This Row],[Footprint Pass/Fail]] = "Fail"), "Fail", "Pass")</f>
        <v>Pass</v>
      </c>
      <c r="U95" t="str">
        <f>IF(Table1[[#This Row],[Date Re-checked/Passed]] = "",T95,Q95)</f>
        <v>Pass</v>
      </c>
      <c r="V95" t="str">
        <f>IF(AND(Table1[[#This Row],[Part Num]]&lt;&gt;"",U95 = "Fail"), "Fail", "Pass")</f>
        <v>Pass</v>
      </c>
      <c r="W95">
        <f>IF(AND(Table1[[#This Row],[Part Num]]&lt;&gt;"",Table1[[#This Row],[Database Pass/Fail]]="",Table1[[#This Row],[Symbol Pass/Fail]]="",Table1[[#This Row],[Footprint Pass/Fail]]=""),1,0)</f>
        <v>0</v>
      </c>
    </row>
    <row r="96" spans="1:23" x14ac:dyDescent="0.25">
      <c r="A96" s="60">
        <f t="shared" si="2"/>
        <v>91</v>
      </c>
      <c r="E96" s="29"/>
      <c r="G96" s="29"/>
      <c r="I96" s="140"/>
      <c r="J96" s="127"/>
      <c r="K96" s="127"/>
      <c r="L96" s="1"/>
      <c r="M96" s="139"/>
      <c r="N96" s="141"/>
      <c r="O96" s="158"/>
      <c r="P96" s="141"/>
      <c r="Q96" s="140"/>
      <c r="R96" s="1"/>
      <c r="S96" s="150"/>
      <c r="T96" t="str">
        <f>IF(OR(Table1[[#This Row],[Database Pass/Fail]] = "Fail",Table1[[#This Row],[Symbol Pass/Fail]] = "Fail",Table1[[#This Row],[Footprint Pass/Fail]] = "Fail"), "Fail", "Pass")</f>
        <v>Pass</v>
      </c>
      <c r="U96" t="str">
        <f>IF(Table1[[#This Row],[Date Re-checked/Passed]] = "",T96,Q96)</f>
        <v>Pass</v>
      </c>
      <c r="V96" t="str">
        <f>IF(AND(Table1[[#This Row],[Part Num]]&lt;&gt;"",U96 = "Fail"), "Fail", "Pass")</f>
        <v>Pass</v>
      </c>
      <c r="W96">
        <f>IF(AND(Table1[[#This Row],[Part Num]]&lt;&gt;"",Table1[[#This Row],[Database Pass/Fail]]="",Table1[[#This Row],[Symbol Pass/Fail]]="",Table1[[#This Row],[Footprint Pass/Fail]]=""),1,0)</f>
        <v>0</v>
      </c>
    </row>
    <row r="97" spans="1:23" x14ac:dyDescent="0.25">
      <c r="A97" s="60">
        <f t="shared" si="2"/>
        <v>92</v>
      </c>
      <c r="E97" s="29"/>
      <c r="G97" s="29"/>
      <c r="I97" s="140"/>
      <c r="J97" s="127"/>
      <c r="K97" s="127"/>
      <c r="L97" s="1"/>
      <c r="M97" s="139"/>
      <c r="N97" s="141"/>
      <c r="O97" s="158"/>
      <c r="P97" s="141"/>
      <c r="Q97" s="140"/>
      <c r="R97" s="1"/>
      <c r="S97" s="150"/>
      <c r="T97" t="str">
        <f>IF(OR(Table1[[#This Row],[Database Pass/Fail]] = "Fail",Table1[[#This Row],[Symbol Pass/Fail]] = "Fail",Table1[[#This Row],[Footprint Pass/Fail]] = "Fail"), "Fail", "Pass")</f>
        <v>Pass</v>
      </c>
      <c r="U97" t="str">
        <f>IF(Table1[[#This Row],[Date Re-checked/Passed]] = "",T97,Q97)</f>
        <v>Pass</v>
      </c>
      <c r="V97" t="str">
        <f>IF(AND(Table1[[#This Row],[Part Num]]&lt;&gt;"",U97 = "Fail"), "Fail", "Pass")</f>
        <v>Pass</v>
      </c>
      <c r="W97">
        <f>IF(AND(Table1[[#This Row],[Part Num]]&lt;&gt;"",Table1[[#This Row],[Database Pass/Fail]]="",Table1[[#This Row],[Symbol Pass/Fail]]="",Table1[[#This Row],[Footprint Pass/Fail]]=""),1,0)</f>
        <v>0</v>
      </c>
    </row>
    <row r="98" spans="1:23" x14ac:dyDescent="0.25">
      <c r="A98" s="60">
        <f t="shared" si="2"/>
        <v>93</v>
      </c>
      <c r="E98" s="29"/>
      <c r="G98" s="29"/>
      <c r="I98" s="140"/>
      <c r="J98" s="127"/>
      <c r="K98" s="127"/>
      <c r="L98" s="1"/>
      <c r="M98" s="139"/>
      <c r="N98" s="141"/>
      <c r="O98" s="158"/>
      <c r="P98" s="141"/>
      <c r="Q98" s="140"/>
      <c r="R98" s="1"/>
      <c r="S98" s="150"/>
      <c r="T98" t="str">
        <f>IF(OR(Table1[[#This Row],[Database Pass/Fail]] = "Fail",Table1[[#This Row],[Symbol Pass/Fail]] = "Fail",Table1[[#This Row],[Footprint Pass/Fail]] = "Fail"), "Fail", "Pass")</f>
        <v>Pass</v>
      </c>
      <c r="U98" t="str">
        <f>IF(Table1[[#This Row],[Date Re-checked/Passed]] = "",T98,Q98)</f>
        <v>Pass</v>
      </c>
      <c r="V98" t="str">
        <f>IF(AND(Table1[[#This Row],[Part Num]]&lt;&gt;"",U98 = "Fail"), "Fail", "Pass")</f>
        <v>Pass</v>
      </c>
      <c r="W98">
        <f>IF(AND(Table1[[#This Row],[Part Num]]&lt;&gt;"",Table1[[#This Row],[Database Pass/Fail]]="",Table1[[#This Row],[Symbol Pass/Fail]]="",Table1[[#This Row],[Footprint Pass/Fail]]=""),1,0)</f>
        <v>0</v>
      </c>
    </row>
    <row r="99" spans="1:23" x14ac:dyDescent="0.25">
      <c r="A99" s="60">
        <f t="shared" si="2"/>
        <v>94</v>
      </c>
      <c r="E99" s="29"/>
      <c r="G99" s="29"/>
      <c r="I99" s="140"/>
      <c r="J99" s="127"/>
      <c r="K99" s="127"/>
      <c r="L99" s="1"/>
      <c r="M99" s="139"/>
      <c r="N99" s="141"/>
      <c r="O99" s="158"/>
      <c r="P99" s="141"/>
      <c r="Q99" s="140"/>
      <c r="R99" s="1"/>
      <c r="S99" s="150"/>
      <c r="T99" t="str">
        <f>IF(OR(Table1[[#This Row],[Database Pass/Fail]] = "Fail",Table1[[#This Row],[Symbol Pass/Fail]] = "Fail",Table1[[#This Row],[Footprint Pass/Fail]] = "Fail"), "Fail", "Pass")</f>
        <v>Pass</v>
      </c>
      <c r="U99" t="str">
        <f>IF(Table1[[#This Row],[Date Re-checked/Passed]] = "",T99,Q99)</f>
        <v>Pass</v>
      </c>
      <c r="V99" t="str">
        <f>IF(AND(Table1[[#This Row],[Part Num]]&lt;&gt;"",U99 = "Fail"), "Fail", "Pass")</f>
        <v>Pass</v>
      </c>
      <c r="W99">
        <f>IF(AND(Table1[[#This Row],[Part Num]]&lt;&gt;"",Table1[[#This Row],[Database Pass/Fail]]="",Table1[[#This Row],[Symbol Pass/Fail]]="",Table1[[#This Row],[Footprint Pass/Fail]]=""),1,0)</f>
        <v>0</v>
      </c>
    </row>
    <row r="100" spans="1:23" x14ac:dyDescent="0.25">
      <c r="A100" s="60">
        <f t="shared" si="2"/>
        <v>95</v>
      </c>
      <c r="E100" s="29"/>
      <c r="G100" s="29"/>
      <c r="I100" s="140"/>
      <c r="J100" s="127"/>
      <c r="K100" s="127"/>
      <c r="L100" s="1"/>
      <c r="M100" s="139"/>
      <c r="N100" s="141"/>
      <c r="O100" s="158"/>
      <c r="P100" s="141"/>
      <c r="Q100" s="140"/>
      <c r="R100" s="1"/>
      <c r="S100" s="150"/>
      <c r="T100" t="str">
        <f>IF(OR(Table1[[#This Row],[Database Pass/Fail]] = "Fail",Table1[[#This Row],[Symbol Pass/Fail]] = "Fail",Table1[[#This Row],[Footprint Pass/Fail]] = "Fail"), "Fail", "Pass")</f>
        <v>Pass</v>
      </c>
      <c r="U100" t="str">
        <f>IF(Table1[[#This Row],[Date Re-checked/Passed]] = "",T100,Q100)</f>
        <v>Pass</v>
      </c>
      <c r="V100" t="str">
        <f>IF(AND(Table1[[#This Row],[Part Num]]&lt;&gt;"",U100 = "Fail"), "Fail", "Pass")</f>
        <v>Pass</v>
      </c>
      <c r="W100">
        <f>IF(AND(Table1[[#This Row],[Part Num]]&lt;&gt;"",Table1[[#This Row],[Database Pass/Fail]]="",Table1[[#This Row],[Symbol Pass/Fail]]="",Table1[[#This Row],[Footprint Pass/Fail]]=""),1,0)</f>
        <v>0</v>
      </c>
    </row>
    <row r="101" spans="1:23" x14ac:dyDescent="0.25">
      <c r="A101" s="60">
        <f t="shared" si="2"/>
        <v>96</v>
      </c>
      <c r="E101" s="29"/>
      <c r="G101" s="29"/>
      <c r="I101" s="140"/>
      <c r="J101" s="127"/>
      <c r="K101" s="127"/>
      <c r="L101" s="1"/>
      <c r="M101" s="139"/>
      <c r="N101" s="141"/>
      <c r="O101" s="158"/>
      <c r="P101" s="141"/>
      <c r="Q101" s="140"/>
      <c r="R101" s="1"/>
      <c r="S101" s="150"/>
      <c r="T101" t="str">
        <f>IF(OR(Table1[[#This Row],[Database Pass/Fail]] = "Fail",Table1[[#This Row],[Symbol Pass/Fail]] = "Fail",Table1[[#This Row],[Footprint Pass/Fail]] = "Fail"), "Fail", "Pass")</f>
        <v>Pass</v>
      </c>
      <c r="U101" t="str">
        <f>IF(Table1[[#This Row],[Date Re-checked/Passed]] = "",T101,Q101)</f>
        <v>Pass</v>
      </c>
      <c r="V101" t="str">
        <f>IF(AND(Table1[[#This Row],[Part Num]]&lt;&gt;"",U101 = "Fail"), "Fail", "Pass")</f>
        <v>Pass</v>
      </c>
      <c r="W101">
        <f>IF(AND(Table1[[#This Row],[Part Num]]&lt;&gt;"",Table1[[#This Row],[Database Pass/Fail]]="",Table1[[#This Row],[Symbol Pass/Fail]]="",Table1[[#This Row],[Footprint Pass/Fail]]=""),1,0)</f>
        <v>0</v>
      </c>
    </row>
    <row r="102" spans="1:23" x14ac:dyDescent="0.25">
      <c r="A102" s="60">
        <f t="shared" si="2"/>
        <v>97</v>
      </c>
      <c r="E102" s="29"/>
      <c r="G102" s="29"/>
      <c r="I102" s="140"/>
      <c r="J102" s="127"/>
      <c r="K102" s="127"/>
      <c r="L102" s="1"/>
      <c r="M102" s="139"/>
      <c r="N102" s="141"/>
      <c r="O102" s="158"/>
      <c r="P102" s="141"/>
      <c r="Q102" s="140"/>
      <c r="R102" s="1"/>
      <c r="S102" s="150"/>
      <c r="T102" t="str">
        <f>IF(OR(Table1[[#This Row],[Database Pass/Fail]] = "Fail",Table1[[#This Row],[Symbol Pass/Fail]] = "Fail",Table1[[#This Row],[Footprint Pass/Fail]] = "Fail"), "Fail", "Pass")</f>
        <v>Pass</v>
      </c>
      <c r="U102" t="str">
        <f>IF(Table1[[#This Row],[Date Re-checked/Passed]] = "",T102,Q102)</f>
        <v>Pass</v>
      </c>
      <c r="V102" t="str">
        <f>IF(AND(Table1[[#This Row],[Part Num]]&lt;&gt;"",U102 = "Fail"), "Fail", "Pass")</f>
        <v>Pass</v>
      </c>
      <c r="W102">
        <f>IF(AND(Table1[[#This Row],[Part Num]]&lt;&gt;"",Table1[[#This Row],[Database Pass/Fail]]="",Table1[[#This Row],[Symbol Pass/Fail]]="",Table1[[#This Row],[Footprint Pass/Fail]]=""),1,0)</f>
        <v>0</v>
      </c>
    </row>
    <row r="103" spans="1:23" x14ac:dyDescent="0.25">
      <c r="A103" s="60">
        <f t="shared" si="2"/>
        <v>98</v>
      </c>
      <c r="E103" s="29"/>
      <c r="G103" s="29"/>
      <c r="I103" s="140"/>
      <c r="J103" s="127"/>
      <c r="K103" s="127"/>
      <c r="L103" s="1"/>
      <c r="M103" s="139"/>
      <c r="N103" s="141"/>
      <c r="O103" s="158"/>
      <c r="P103" s="141"/>
      <c r="Q103" s="140"/>
      <c r="R103" s="1"/>
      <c r="S103" s="150"/>
      <c r="T103" t="str">
        <f>IF(OR(Table1[[#This Row],[Database Pass/Fail]] = "Fail",Table1[[#This Row],[Symbol Pass/Fail]] = "Fail",Table1[[#This Row],[Footprint Pass/Fail]] = "Fail"), "Fail", "Pass")</f>
        <v>Pass</v>
      </c>
      <c r="U103" t="str">
        <f>IF(Table1[[#This Row],[Date Re-checked/Passed]] = "",T103,Q103)</f>
        <v>Pass</v>
      </c>
      <c r="V103" t="str">
        <f>IF(AND(Table1[[#This Row],[Part Num]]&lt;&gt;"",U103 = "Fail"), "Fail", "Pass")</f>
        <v>Pass</v>
      </c>
      <c r="W103">
        <f>IF(AND(Table1[[#This Row],[Part Num]]&lt;&gt;"",Table1[[#This Row],[Database Pass/Fail]]="",Table1[[#This Row],[Symbol Pass/Fail]]="",Table1[[#This Row],[Footprint Pass/Fail]]=""),1,0)</f>
        <v>0</v>
      </c>
    </row>
    <row r="104" spans="1:23" x14ac:dyDescent="0.25">
      <c r="A104" s="60">
        <f t="shared" si="2"/>
        <v>99</v>
      </c>
      <c r="E104" s="29"/>
      <c r="G104" s="29"/>
      <c r="I104" s="140"/>
      <c r="J104" s="231"/>
      <c r="K104" s="127"/>
      <c r="L104" s="1"/>
      <c r="M104" s="139"/>
      <c r="N104" s="141"/>
      <c r="O104" s="158"/>
      <c r="P104" s="141"/>
      <c r="Q104" s="130"/>
      <c r="R104" s="1"/>
      <c r="S104" s="150"/>
      <c r="T104" t="str">
        <f>IF(OR(Table1[[#This Row],[Database Pass/Fail]] = "Fail",Table1[[#This Row],[Symbol Pass/Fail]] = "Fail",Table1[[#This Row],[Footprint Pass/Fail]] = "Fail"), "Fail", "Pass")</f>
        <v>Pass</v>
      </c>
      <c r="U104" t="str">
        <f>IF(Table1[[#This Row],[Date Re-checked/Passed]] = "",T104,Q104)</f>
        <v>Pass</v>
      </c>
      <c r="V104" t="str">
        <f>IF(AND(Table1[[#This Row],[Part Num]]&lt;&gt;"",U104 = "Fail"), "Fail", "Pass")</f>
        <v>Pass</v>
      </c>
      <c r="W104">
        <f>IF(AND(Table1[[#This Row],[Part Num]]&lt;&gt;"",Table1[[#This Row],[Database Pass/Fail]]="",Table1[[#This Row],[Symbol Pass/Fail]]="",Table1[[#This Row],[Footprint Pass/Fail]]=""),1,0)</f>
        <v>0</v>
      </c>
    </row>
    <row r="105" spans="1:23" x14ac:dyDescent="0.25">
      <c r="A105" s="173"/>
      <c r="B105" s="174"/>
      <c r="C105" s="174"/>
      <c r="D105" s="174"/>
      <c r="E105" s="174"/>
      <c r="F105" s="174"/>
      <c r="G105" s="174"/>
      <c r="H105" s="174"/>
      <c r="I105" s="174"/>
      <c r="J105" s="174"/>
      <c r="K105" s="174"/>
      <c r="L105" s="174"/>
      <c r="M105" s="175"/>
      <c r="N105" s="174"/>
      <c r="O105" s="175"/>
      <c r="P105" s="174"/>
      <c r="Q105" s="175"/>
      <c r="R105" s="174"/>
      <c r="S105" s="162"/>
    </row>
    <row r="106" spans="1:23" x14ac:dyDescent="0.25">
      <c r="A106" s="159"/>
      <c r="B106" s="190"/>
      <c r="C106" s="160"/>
      <c r="D106" s="160"/>
      <c r="E106" s="160"/>
      <c r="F106" s="160"/>
      <c r="G106" s="160"/>
      <c r="H106" s="160"/>
      <c r="I106" s="190"/>
      <c r="J106" s="190"/>
      <c r="K106" s="190"/>
      <c r="L106" s="190"/>
      <c r="M106" s="226"/>
      <c r="N106" s="190"/>
      <c r="O106" s="226"/>
      <c r="P106" s="190"/>
      <c r="Q106" s="190"/>
      <c r="R106" s="190"/>
      <c r="S106" s="190"/>
    </row>
    <row r="107" spans="1:23" x14ac:dyDescent="0.25">
      <c r="A107" s="159"/>
      <c r="B107" s="160"/>
      <c r="C107" s="160"/>
      <c r="D107" s="160"/>
      <c r="E107" s="160"/>
      <c r="F107" s="160"/>
      <c r="G107" s="160"/>
      <c r="H107" s="160"/>
      <c r="I107" s="227"/>
      <c r="J107" s="227"/>
      <c r="K107" s="227"/>
      <c r="L107" s="190"/>
      <c r="M107" s="226"/>
      <c r="N107" s="190"/>
      <c r="O107" s="226"/>
      <c r="P107" s="190"/>
      <c r="Q107" s="227"/>
      <c r="R107" s="190"/>
      <c r="S107" s="190"/>
      <c r="T107" s="227"/>
      <c r="U107" s="227"/>
      <c r="V107" s="227" t="b">
        <f t="shared" ref="V107" si="3">IF(OR(V6="Fail",V7="Fail",V8="Fail",V9="Fail",V10="Fail",V11="Fail",V12="Fail",V13="Fail",V14="Fail",V15="Fail",V16="Fail",V17="Fail",V18="Fail",V19="Fail",V20="Fail",V21="Fail",V22="Fail",V23="Fail",V24="Fail",V25="Fail",V26="Fail",V27="Fail",V28="Fail",V29="Fail",V30="Fail",V31="Fail",V32="Fail",V33="Fail",V34="Fail",V35="Fail",V36="Fail",V37="Fail",V38="Fail",V39="Fail",V40="Fail",V41="Fail",V42="Fail",V43="Fail",V44="Fail",V45="Fail",V46="Fail",V47="Fail",V48="Fail",V49="Fail",V50="Fail",V51="Fail",V52="Fail",V53="Fail",V54="Fail",V55="Fail",V56="Fail",V57="Fail",V58="Fail",V59="Fail",V60="Fail",V61="Fail",V62="Fail",V63="Fail",V64="Fail",V65="Fail",V66="Fail",V67="Fail",V68="Fail",V69="Fail",V70="Fail",IV71="Fail",V72="Fail",V73="Fail",V74="Fail",V75="Fail",V76="Fail",V77="Fail",V79="Fail",V80="Fail",V81="Fail",V82="Fail",V83="Fail",V84="Fail",V85="Fail",V86="Fail",V87="Fail",V88="Fail",V89="Fail",V90="Fail",V91="Fail",V92="Fail",V93="Fail",V94="Fail",V95="Fail",V97="Fail",V98="Fail",V99="Fail",V100="Fail",V102="Fail",V103="Fail",V104="Fail"),FALSE,TRUE)</f>
        <v>1</v>
      </c>
      <c r="W107">
        <f>SUM(W6:W104)</f>
        <v>2</v>
      </c>
    </row>
    <row r="108" spans="1:23" x14ac:dyDescent="0.25">
      <c r="A108" s="159"/>
      <c r="B108" s="160"/>
      <c r="C108" s="160"/>
      <c r="D108" s="160"/>
      <c r="E108" s="160"/>
      <c r="F108" s="160"/>
      <c r="G108" s="160"/>
      <c r="H108" s="160"/>
      <c r="I108" s="160"/>
      <c r="J108" s="160"/>
      <c r="K108" s="160"/>
      <c r="L108" s="160"/>
      <c r="M108" s="161"/>
      <c r="N108" s="160"/>
      <c r="O108" s="161"/>
      <c r="P108" s="160"/>
      <c r="Q108" s="161"/>
      <c r="R108" s="160"/>
      <c r="S108" s="160"/>
    </row>
    <row r="109" spans="1:23" x14ac:dyDescent="0.25">
      <c r="A109" s="159"/>
      <c r="B109" s="160"/>
      <c r="C109" s="160"/>
      <c r="D109" s="160"/>
      <c r="E109" s="160"/>
      <c r="F109" s="160"/>
      <c r="G109" s="160"/>
      <c r="H109" s="160"/>
      <c r="I109" s="160"/>
      <c r="J109" s="160"/>
      <c r="K109" s="160"/>
      <c r="L109" s="160"/>
      <c r="M109" s="161"/>
      <c r="N109" s="160"/>
      <c r="O109" s="161"/>
      <c r="P109" s="160"/>
      <c r="Q109" s="161"/>
      <c r="R109" s="160"/>
      <c r="S109" s="160"/>
    </row>
    <row r="110" spans="1:23" x14ac:dyDescent="0.25">
      <c r="A110" s="159"/>
      <c r="B110" s="160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1"/>
      <c r="N110" s="160"/>
      <c r="O110" s="161"/>
      <c r="P110" s="160"/>
      <c r="Q110" s="161"/>
      <c r="R110" s="160"/>
      <c r="S110" s="160"/>
    </row>
    <row r="111" spans="1:23" x14ac:dyDescent="0.25">
      <c r="A111" s="159"/>
      <c r="B111" s="160"/>
      <c r="C111" s="160"/>
      <c r="D111" s="160"/>
      <c r="E111" s="160"/>
      <c r="F111" s="160"/>
      <c r="G111" s="160"/>
      <c r="H111" s="160"/>
      <c r="I111" s="160"/>
      <c r="J111" s="160"/>
      <c r="K111" s="160"/>
      <c r="L111" s="160"/>
      <c r="M111" s="161"/>
      <c r="N111" s="160"/>
      <c r="O111" s="161"/>
      <c r="P111" s="160"/>
      <c r="Q111" s="161"/>
      <c r="R111" s="160"/>
      <c r="S111" s="160"/>
    </row>
    <row r="112" spans="1:23" x14ac:dyDescent="0.25">
      <c r="A112" s="159"/>
      <c r="B112" s="160"/>
      <c r="C112" s="160"/>
      <c r="D112" s="160"/>
      <c r="E112" s="160"/>
      <c r="F112" s="160"/>
      <c r="G112" s="160"/>
      <c r="H112" s="160"/>
      <c r="I112" s="160"/>
      <c r="J112" s="160"/>
      <c r="K112" s="160"/>
      <c r="L112" s="160"/>
      <c r="M112" s="161"/>
      <c r="N112" s="160"/>
      <c r="O112" s="161"/>
      <c r="P112" s="160"/>
      <c r="Q112" s="161"/>
      <c r="R112" s="160"/>
      <c r="S112" s="160"/>
    </row>
    <row r="113" spans="1:19" x14ac:dyDescent="0.25">
      <c r="A113" s="159"/>
      <c r="B113" s="160"/>
      <c r="C113" s="160"/>
      <c r="D113" s="160"/>
      <c r="E113" s="160"/>
      <c r="F113" s="160"/>
      <c r="G113" s="160"/>
      <c r="H113" s="160"/>
      <c r="I113" s="160"/>
      <c r="J113" s="160"/>
      <c r="K113" s="160"/>
      <c r="L113" s="160"/>
      <c r="M113" s="161"/>
      <c r="N113" s="160"/>
      <c r="O113" s="161"/>
      <c r="P113" s="160"/>
      <c r="Q113" s="161"/>
      <c r="R113" s="160"/>
      <c r="S113" s="160"/>
    </row>
    <row r="114" spans="1:19" x14ac:dyDescent="0.25">
      <c r="A114" s="159"/>
      <c r="B114" s="160"/>
      <c r="C114" s="160"/>
      <c r="D114" s="160"/>
      <c r="E114" s="160"/>
      <c r="F114" s="160"/>
      <c r="G114" s="160"/>
      <c r="H114" s="160"/>
      <c r="I114" s="160"/>
      <c r="J114" s="160"/>
      <c r="K114" s="160"/>
      <c r="L114" s="160"/>
      <c r="M114" s="161"/>
      <c r="N114" s="160"/>
      <c r="O114" s="161"/>
      <c r="P114" s="160"/>
      <c r="Q114" s="161"/>
      <c r="R114" s="160"/>
      <c r="S114" s="160"/>
    </row>
    <row r="115" spans="1:19" x14ac:dyDescent="0.25">
      <c r="A115" s="159"/>
      <c r="B115" s="160"/>
      <c r="C115" s="160"/>
      <c r="D115" s="160"/>
      <c r="E115" s="160"/>
      <c r="F115" s="160"/>
      <c r="G115" s="160"/>
      <c r="H115" s="160"/>
      <c r="I115" s="160"/>
      <c r="J115" s="160"/>
      <c r="K115" s="160"/>
      <c r="L115" s="160"/>
      <c r="M115" s="161"/>
      <c r="N115" s="160"/>
      <c r="O115" s="161"/>
      <c r="P115" s="160"/>
      <c r="Q115" s="161"/>
      <c r="R115" s="160"/>
      <c r="S115" s="160"/>
    </row>
    <row r="116" spans="1:19" x14ac:dyDescent="0.25">
      <c r="A116" s="159"/>
      <c r="B116" s="160"/>
      <c r="C116" s="160"/>
      <c r="D116" s="160"/>
      <c r="E116" s="160"/>
      <c r="F116" s="160"/>
      <c r="G116" s="160"/>
      <c r="H116" s="160"/>
      <c r="I116" s="160"/>
      <c r="J116" s="160"/>
      <c r="K116" s="160"/>
      <c r="L116" s="160"/>
      <c r="M116" s="161"/>
      <c r="N116" s="160"/>
      <c r="O116" s="161"/>
      <c r="P116" s="160"/>
      <c r="Q116" s="161"/>
      <c r="R116" s="160"/>
      <c r="S116" s="160"/>
    </row>
    <row r="117" spans="1:19" x14ac:dyDescent="0.25">
      <c r="A117" s="159"/>
      <c r="B117" s="160"/>
      <c r="C117" s="160"/>
      <c r="D117" s="160"/>
      <c r="E117" s="160"/>
      <c r="F117" s="160"/>
      <c r="G117" s="160"/>
      <c r="H117" s="160"/>
      <c r="I117" s="160"/>
      <c r="J117" s="160"/>
      <c r="K117" s="160"/>
      <c r="L117" s="160"/>
      <c r="M117" s="161"/>
      <c r="N117" s="160"/>
      <c r="O117" s="161"/>
      <c r="P117" s="160"/>
      <c r="Q117" s="161"/>
      <c r="R117" s="160"/>
      <c r="S117" s="160"/>
    </row>
    <row r="118" spans="1:19" x14ac:dyDescent="0.25">
      <c r="A118" s="159"/>
      <c r="B118" s="160"/>
      <c r="C118" s="160"/>
      <c r="D118" s="160"/>
      <c r="E118" s="160"/>
      <c r="F118" s="160"/>
      <c r="G118" s="160"/>
      <c r="H118" s="160"/>
      <c r="I118" s="160"/>
      <c r="J118" s="160"/>
      <c r="K118" s="160"/>
      <c r="L118" s="160"/>
      <c r="M118" s="161"/>
      <c r="N118" s="160"/>
      <c r="O118" s="161"/>
      <c r="P118" s="160"/>
      <c r="Q118" s="161"/>
      <c r="R118" s="160"/>
      <c r="S118" s="160"/>
    </row>
    <row r="119" spans="1:19" x14ac:dyDescent="0.25">
      <c r="A119" s="159"/>
      <c r="B119" s="160"/>
      <c r="C119" s="160"/>
      <c r="D119" s="160"/>
      <c r="E119" s="160"/>
      <c r="F119" s="160"/>
      <c r="G119" s="160"/>
      <c r="H119" s="160"/>
      <c r="I119" s="160"/>
      <c r="J119" s="160"/>
      <c r="K119" s="160"/>
      <c r="L119" s="160"/>
      <c r="M119" s="161"/>
      <c r="N119" s="160"/>
      <c r="O119" s="161"/>
      <c r="P119" s="160"/>
      <c r="Q119" s="161"/>
      <c r="R119" s="160"/>
      <c r="S119" s="160"/>
    </row>
    <row r="120" spans="1:19" x14ac:dyDescent="0.25">
      <c r="A120" s="159"/>
      <c r="B120" s="160"/>
      <c r="C120" s="160"/>
      <c r="D120" s="160"/>
      <c r="E120" s="160"/>
      <c r="F120" s="160"/>
      <c r="G120" s="160"/>
      <c r="H120" s="160"/>
      <c r="I120" s="160"/>
      <c r="J120" s="160"/>
      <c r="K120" s="160"/>
      <c r="L120" s="160"/>
      <c r="M120" s="161"/>
      <c r="N120" s="160"/>
      <c r="O120" s="161"/>
      <c r="P120" s="160"/>
      <c r="Q120" s="161"/>
      <c r="R120" s="160"/>
      <c r="S120" s="160"/>
    </row>
    <row r="121" spans="1:19" x14ac:dyDescent="0.25">
      <c r="A121" s="159"/>
      <c r="B121" s="160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1"/>
      <c r="N121" s="160"/>
      <c r="O121" s="161"/>
      <c r="P121" s="160"/>
      <c r="Q121" s="161"/>
      <c r="R121" s="160"/>
      <c r="S121" s="160"/>
    </row>
    <row r="122" spans="1:19" x14ac:dyDescent="0.25">
      <c r="A122" s="159"/>
      <c r="B122" s="160"/>
      <c r="C122" s="160"/>
      <c r="D122" s="160"/>
      <c r="E122" s="160"/>
      <c r="F122" s="160"/>
      <c r="G122" s="160"/>
      <c r="H122" s="160"/>
      <c r="I122" s="160"/>
      <c r="J122" s="160"/>
      <c r="K122" s="160"/>
      <c r="L122" s="160"/>
      <c r="M122" s="161"/>
      <c r="N122" s="160"/>
      <c r="O122" s="161"/>
      <c r="P122" s="160"/>
      <c r="Q122" s="161"/>
      <c r="R122" s="160"/>
      <c r="S122" s="160"/>
    </row>
    <row r="123" spans="1:19" x14ac:dyDescent="0.25">
      <c r="A123" s="159"/>
      <c r="B123" s="160"/>
      <c r="C123" s="160"/>
      <c r="D123" s="160"/>
      <c r="E123" s="160"/>
      <c r="F123" s="160"/>
      <c r="G123" s="160"/>
      <c r="H123" s="160"/>
      <c r="I123" s="160"/>
      <c r="J123" s="160"/>
      <c r="K123" s="160"/>
      <c r="L123" s="160"/>
      <c r="M123" s="161"/>
      <c r="N123" s="160"/>
      <c r="O123" s="161"/>
      <c r="P123" s="160"/>
      <c r="Q123" s="161"/>
      <c r="R123" s="160"/>
      <c r="S123" s="160"/>
    </row>
    <row r="124" spans="1:19" x14ac:dyDescent="0.25">
      <c r="A124" s="159"/>
      <c r="B124" s="160"/>
      <c r="C124" s="160"/>
      <c r="D124" s="160"/>
      <c r="E124" s="160"/>
      <c r="F124" s="160"/>
      <c r="G124" s="160"/>
      <c r="H124" s="160"/>
      <c r="I124" s="160"/>
      <c r="J124" s="160"/>
      <c r="K124" s="160"/>
      <c r="L124" s="160"/>
      <c r="M124" s="161"/>
      <c r="N124" s="160"/>
      <c r="O124" s="161"/>
      <c r="P124" s="160"/>
      <c r="Q124" s="161"/>
      <c r="R124" s="160"/>
      <c r="S124" s="160"/>
    </row>
    <row r="125" spans="1:19" x14ac:dyDescent="0.25">
      <c r="A125" s="159"/>
      <c r="B125" s="160"/>
      <c r="C125" s="160"/>
      <c r="D125" s="160"/>
      <c r="E125" s="160"/>
      <c r="F125" s="160"/>
      <c r="G125" s="160"/>
      <c r="H125" s="160"/>
      <c r="I125" s="160"/>
      <c r="J125" s="160"/>
      <c r="K125" s="160"/>
      <c r="L125" s="160"/>
      <c r="M125" s="161"/>
      <c r="N125" s="160"/>
      <c r="O125" s="161"/>
      <c r="P125" s="160"/>
      <c r="Q125" s="161"/>
      <c r="R125" s="160"/>
      <c r="S125" s="160"/>
    </row>
    <row r="126" spans="1:19" x14ac:dyDescent="0.25">
      <c r="A126" s="159"/>
      <c r="B126" s="160"/>
      <c r="C126" s="160"/>
      <c r="D126" s="160"/>
      <c r="E126" s="160"/>
      <c r="F126" s="160"/>
      <c r="G126" s="160"/>
      <c r="H126" s="160"/>
      <c r="I126" s="160"/>
      <c r="J126" s="160"/>
      <c r="K126" s="160"/>
      <c r="L126" s="160"/>
      <c r="M126" s="161"/>
      <c r="N126" s="160"/>
      <c r="O126" s="161"/>
      <c r="P126" s="160"/>
      <c r="Q126" s="161"/>
      <c r="R126" s="160"/>
      <c r="S126" s="160"/>
    </row>
    <row r="127" spans="1:19" x14ac:dyDescent="0.25">
      <c r="A127" s="159"/>
      <c r="B127" s="160"/>
      <c r="C127" s="160"/>
      <c r="D127" s="160"/>
      <c r="E127" s="160"/>
      <c r="F127" s="160"/>
      <c r="G127" s="160"/>
      <c r="H127" s="160"/>
      <c r="I127" s="160"/>
      <c r="J127" s="160"/>
      <c r="K127" s="160"/>
      <c r="L127" s="160"/>
      <c r="M127" s="161"/>
      <c r="N127" s="160"/>
      <c r="O127" s="161"/>
      <c r="P127" s="160"/>
      <c r="Q127" s="161"/>
      <c r="R127" s="160"/>
      <c r="S127" s="160"/>
    </row>
    <row r="128" spans="1:19" x14ac:dyDescent="0.25">
      <c r="A128" s="159"/>
      <c r="B128" s="160"/>
      <c r="C128" s="160"/>
      <c r="D128" s="160"/>
      <c r="E128" s="160"/>
      <c r="F128" s="160"/>
      <c r="G128" s="160"/>
      <c r="H128" s="160"/>
      <c r="I128" s="160"/>
      <c r="J128" s="160"/>
      <c r="K128" s="160"/>
      <c r="L128" s="160"/>
      <c r="M128" s="161"/>
      <c r="N128" s="160"/>
      <c r="O128" s="161"/>
      <c r="P128" s="160"/>
      <c r="Q128" s="161"/>
      <c r="R128" s="160"/>
      <c r="S128" s="160"/>
    </row>
    <row r="129" spans="1:19" x14ac:dyDescent="0.25">
      <c r="A129" s="159"/>
      <c r="B129" s="160"/>
      <c r="C129" s="160"/>
      <c r="D129" s="160"/>
      <c r="E129" s="160"/>
      <c r="F129" s="160"/>
      <c r="G129" s="160"/>
      <c r="H129" s="160"/>
      <c r="I129" s="160"/>
      <c r="J129" s="160"/>
      <c r="K129" s="160"/>
      <c r="L129" s="160"/>
      <c r="M129" s="161"/>
      <c r="N129" s="160"/>
      <c r="O129" s="161"/>
      <c r="P129" s="160"/>
      <c r="Q129" s="161"/>
      <c r="R129" s="160"/>
      <c r="S129" s="160"/>
    </row>
    <row r="130" spans="1:19" x14ac:dyDescent="0.25">
      <c r="A130" s="159"/>
      <c r="B130" s="160"/>
      <c r="C130" s="160"/>
      <c r="D130" s="160"/>
      <c r="E130" s="160"/>
      <c r="F130" s="160"/>
      <c r="G130" s="160"/>
      <c r="H130" s="160"/>
      <c r="I130" s="160"/>
      <c r="J130" s="160"/>
      <c r="K130" s="160"/>
      <c r="L130" s="160"/>
      <c r="M130" s="161"/>
      <c r="N130" s="160"/>
      <c r="O130" s="161"/>
      <c r="P130" s="160"/>
      <c r="Q130" s="161"/>
      <c r="R130" s="160"/>
      <c r="S130" s="160"/>
    </row>
    <row r="131" spans="1:19" x14ac:dyDescent="0.25">
      <c r="A131" s="159"/>
      <c r="B131" s="160"/>
      <c r="C131" s="160"/>
      <c r="D131" s="160"/>
      <c r="E131" s="160"/>
      <c r="F131" s="160"/>
      <c r="G131" s="160"/>
      <c r="H131" s="160"/>
      <c r="I131" s="160"/>
      <c r="J131" s="160"/>
      <c r="K131" s="160"/>
      <c r="L131" s="160"/>
      <c r="M131" s="161"/>
      <c r="N131" s="160"/>
      <c r="O131" s="161"/>
      <c r="P131" s="160"/>
      <c r="Q131" s="161"/>
      <c r="R131" s="160"/>
      <c r="S131" s="160"/>
    </row>
    <row r="132" spans="1:19" x14ac:dyDescent="0.25">
      <c r="A132" s="159"/>
      <c r="B132" s="160"/>
      <c r="C132" s="160"/>
      <c r="D132" s="160"/>
      <c r="E132" s="160"/>
      <c r="F132" s="160"/>
      <c r="G132" s="160"/>
      <c r="H132" s="160"/>
      <c r="I132" s="160"/>
      <c r="J132" s="160"/>
      <c r="K132" s="160"/>
      <c r="L132" s="160"/>
      <c r="M132" s="161"/>
      <c r="N132" s="160"/>
      <c r="O132" s="161"/>
      <c r="P132" s="160"/>
      <c r="Q132" s="161"/>
      <c r="R132" s="160"/>
      <c r="S132" s="160"/>
    </row>
    <row r="133" spans="1:19" x14ac:dyDescent="0.25">
      <c r="A133" s="159"/>
      <c r="B133" s="160"/>
      <c r="C133" s="160"/>
      <c r="D133" s="160"/>
      <c r="E133" s="160"/>
      <c r="F133" s="160"/>
      <c r="G133" s="160"/>
      <c r="H133" s="160"/>
      <c r="I133" s="160"/>
      <c r="J133" s="160"/>
      <c r="K133" s="160"/>
      <c r="L133" s="160"/>
      <c r="M133" s="161"/>
      <c r="N133" s="160"/>
      <c r="O133" s="161"/>
      <c r="P133" s="160"/>
      <c r="Q133" s="161"/>
      <c r="R133" s="160"/>
      <c r="S133" s="160"/>
    </row>
    <row r="134" spans="1:19" x14ac:dyDescent="0.25">
      <c r="A134" s="159"/>
      <c r="B134" s="160"/>
      <c r="C134" s="160"/>
      <c r="D134" s="160"/>
      <c r="E134" s="160"/>
      <c r="F134" s="160"/>
      <c r="G134" s="160"/>
      <c r="H134" s="160"/>
      <c r="I134" s="160"/>
      <c r="J134" s="160"/>
      <c r="K134" s="160"/>
      <c r="L134" s="160"/>
      <c r="M134" s="161"/>
      <c r="N134" s="160"/>
      <c r="O134" s="161"/>
      <c r="P134" s="160"/>
      <c r="Q134" s="161"/>
      <c r="R134" s="160"/>
      <c r="S134" s="160"/>
    </row>
    <row r="135" spans="1:19" x14ac:dyDescent="0.25">
      <c r="A135" s="159"/>
      <c r="B135" s="160"/>
      <c r="C135" s="160"/>
      <c r="D135" s="160"/>
      <c r="E135" s="160"/>
      <c r="F135" s="160"/>
      <c r="G135" s="160"/>
      <c r="H135" s="160"/>
      <c r="I135" s="160"/>
      <c r="J135" s="160"/>
      <c r="K135" s="160"/>
      <c r="L135" s="160"/>
      <c r="M135" s="161"/>
      <c r="N135" s="160"/>
      <c r="O135" s="161"/>
      <c r="P135" s="160"/>
      <c r="Q135" s="161"/>
      <c r="R135" s="160"/>
      <c r="S135" s="160"/>
    </row>
    <row r="136" spans="1:19" x14ac:dyDescent="0.25">
      <c r="A136" s="159"/>
      <c r="B136" s="160"/>
      <c r="C136" s="160"/>
      <c r="D136" s="160"/>
      <c r="E136" s="160"/>
      <c r="F136" s="160"/>
      <c r="G136" s="160"/>
      <c r="H136" s="160"/>
      <c r="I136" s="160"/>
      <c r="J136" s="160"/>
      <c r="K136" s="160"/>
      <c r="L136" s="160"/>
      <c r="M136" s="161"/>
      <c r="N136" s="160"/>
      <c r="O136" s="161"/>
      <c r="P136" s="160"/>
      <c r="Q136" s="161"/>
      <c r="R136" s="160"/>
      <c r="S136" s="160"/>
    </row>
    <row r="137" spans="1:19" x14ac:dyDescent="0.25">
      <c r="A137" s="159"/>
      <c r="B137" s="160"/>
      <c r="C137" s="160"/>
      <c r="D137" s="160"/>
      <c r="E137" s="160"/>
      <c r="F137" s="160"/>
      <c r="G137" s="160"/>
      <c r="H137" s="160"/>
      <c r="I137" s="160"/>
      <c r="J137" s="160"/>
      <c r="K137" s="160"/>
      <c r="L137" s="160"/>
      <c r="M137" s="161"/>
      <c r="N137" s="160"/>
      <c r="O137" s="161"/>
      <c r="P137" s="160"/>
      <c r="Q137" s="161"/>
      <c r="R137" s="160"/>
      <c r="S137" s="160"/>
    </row>
    <row r="138" spans="1:19" x14ac:dyDescent="0.25">
      <c r="A138" s="159"/>
      <c r="B138" s="160"/>
      <c r="C138" s="160"/>
      <c r="D138" s="160"/>
      <c r="E138" s="160"/>
      <c r="F138" s="160"/>
      <c r="G138" s="160"/>
      <c r="H138" s="160"/>
      <c r="I138" s="160"/>
      <c r="J138" s="160"/>
      <c r="K138" s="160"/>
      <c r="L138" s="160"/>
      <c r="M138" s="161"/>
      <c r="N138" s="160"/>
      <c r="O138" s="161"/>
      <c r="P138" s="160"/>
      <c r="Q138" s="161"/>
      <c r="R138" s="160"/>
      <c r="S138" s="160"/>
    </row>
    <row r="139" spans="1:19" x14ac:dyDescent="0.25">
      <c r="A139" s="159"/>
      <c r="B139" s="160"/>
      <c r="C139" s="160"/>
      <c r="D139" s="160"/>
      <c r="E139" s="160"/>
      <c r="F139" s="160"/>
      <c r="G139" s="160"/>
      <c r="H139" s="160"/>
      <c r="I139" s="160"/>
      <c r="J139" s="160"/>
      <c r="K139" s="160"/>
      <c r="L139" s="160"/>
      <c r="M139" s="161"/>
      <c r="N139" s="160"/>
      <c r="O139" s="161"/>
      <c r="P139" s="160"/>
      <c r="Q139" s="161"/>
      <c r="R139" s="160"/>
      <c r="S139" s="160"/>
    </row>
    <row r="140" spans="1:19" x14ac:dyDescent="0.25">
      <c r="A140" s="159"/>
      <c r="B140" s="160"/>
      <c r="C140" s="160"/>
      <c r="D140" s="160"/>
      <c r="E140" s="160"/>
      <c r="F140" s="160"/>
      <c r="G140" s="160"/>
      <c r="H140" s="160"/>
      <c r="I140" s="160"/>
      <c r="J140" s="160"/>
      <c r="K140" s="160"/>
      <c r="L140" s="160"/>
      <c r="M140" s="161"/>
      <c r="N140" s="160"/>
      <c r="O140" s="161"/>
      <c r="P140" s="160"/>
      <c r="Q140" s="161"/>
      <c r="R140" s="160"/>
      <c r="S140" s="160"/>
    </row>
    <row r="141" spans="1:19" x14ac:dyDescent="0.25">
      <c r="A141" s="159"/>
      <c r="B141" s="160"/>
      <c r="C141" s="160"/>
      <c r="D141" s="160"/>
      <c r="E141" s="160"/>
      <c r="F141" s="160"/>
      <c r="G141" s="160"/>
      <c r="H141" s="160"/>
      <c r="I141" s="160"/>
      <c r="J141" s="160"/>
      <c r="K141" s="160"/>
      <c r="L141" s="160"/>
      <c r="M141" s="161"/>
      <c r="N141" s="160"/>
      <c r="O141" s="161"/>
      <c r="P141" s="160"/>
      <c r="Q141" s="161"/>
      <c r="R141" s="160"/>
      <c r="S141" s="160"/>
    </row>
    <row r="142" spans="1:19" x14ac:dyDescent="0.25">
      <c r="A142" s="159"/>
      <c r="B142" s="160"/>
      <c r="C142" s="160"/>
      <c r="D142" s="160"/>
      <c r="E142" s="160"/>
      <c r="F142" s="160"/>
      <c r="G142" s="160"/>
      <c r="H142" s="160"/>
      <c r="I142" s="160"/>
      <c r="J142" s="160"/>
      <c r="K142" s="160"/>
      <c r="L142" s="160"/>
      <c r="M142" s="161"/>
      <c r="N142" s="160"/>
      <c r="O142" s="161"/>
      <c r="P142" s="160"/>
      <c r="Q142" s="161"/>
      <c r="R142" s="160"/>
      <c r="S142" s="160"/>
    </row>
    <row r="143" spans="1:19" x14ac:dyDescent="0.25">
      <c r="A143" s="159"/>
      <c r="B143" s="160"/>
      <c r="C143" s="160"/>
      <c r="D143" s="160"/>
      <c r="E143" s="160"/>
      <c r="F143" s="160"/>
      <c r="G143" s="160"/>
      <c r="H143" s="160"/>
      <c r="I143" s="160"/>
      <c r="J143" s="160"/>
      <c r="K143" s="160"/>
      <c r="L143" s="160"/>
      <c r="M143" s="161"/>
      <c r="N143" s="160"/>
      <c r="O143" s="161"/>
      <c r="P143" s="160"/>
      <c r="Q143" s="161"/>
      <c r="R143" s="160"/>
      <c r="S143" s="160"/>
    </row>
    <row r="144" spans="1:19" x14ac:dyDescent="0.25">
      <c r="A144" s="159"/>
      <c r="B144" s="160"/>
      <c r="C144" s="160"/>
      <c r="D144" s="160"/>
      <c r="E144" s="160"/>
      <c r="F144" s="160"/>
      <c r="G144" s="160"/>
      <c r="H144" s="160"/>
      <c r="I144" s="160"/>
      <c r="J144" s="160"/>
      <c r="K144" s="160"/>
      <c r="L144" s="160"/>
      <c r="M144" s="161"/>
      <c r="N144" s="160"/>
      <c r="O144" s="161"/>
      <c r="P144" s="160"/>
      <c r="Q144" s="161"/>
      <c r="R144" s="160"/>
      <c r="S144" s="160"/>
    </row>
    <row r="145" spans="1:19" x14ac:dyDescent="0.25">
      <c r="A145" s="159"/>
      <c r="B145" s="160"/>
      <c r="C145" s="160"/>
      <c r="D145" s="160"/>
      <c r="E145" s="160"/>
      <c r="F145" s="160"/>
      <c r="G145" s="160"/>
      <c r="H145" s="160"/>
      <c r="I145" s="160"/>
      <c r="J145" s="160"/>
      <c r="K145" s="160"/>
      <c r="L145" s="160"/>
      <c r="M145" s="161"/>
      <c r="N145" s="160"/>
      <c r="O145" s="161"/>
      <c r="P145" s="160"/>
      <c r="Q145" s="161"/>
      <c r="R145" s="160"/>
      <c r="S145" s="160"/>
    </row>
    <row r="146" spans="1:19" x14ac:dyDescent="0.25">
      <c r="A146" s="159"/>
      <c r="B146" s="160"/>
      <c r="C146" s="160"/>
      <c r="D146" s="160"/>
      <c r="E146" s="160"/>
      <c r="F146" s="160"/>
      <c r="G146" s="160"/>
      <c r="H146" s="160"/>
      <c r="I146" s="160"/>
      <c r="J146" s="160"/>
      <c r="K146" s="160"/>
      <c r="L146" s="160"/>
      <c r="M146" s="161"/>
      <c r="N146" s="160"/>
      <c r="O146" s="161"/>
      <c r="P146" s="160"/>
      <c r="Q146" s="161"/>
      <c r="R146" s="160"/>
      <c r="S146" s="160"/>
    </row>
    <row r="147" spans="1:19" x14ac:dyDescent="0.25">
      <c r="A147" s="159"/>
      <c r="B147" s="160"/>
      <c r="C147" s="160"/>
      <c r="D147" s="160"/>
      <c r="E147" s="160"/>
      <c r="F147" s="160"/>
      <c r="G147" s="160"/>
      <c r="H147" s="160"/>
      <c r="I147" s="160"/>
      <c r="J147" s="160"/>
      <c r="K147" s="160"/>
      <c r="L147" s="160"/>
      <c r="M147" s="161"/>
      <c r="N147" s="160"/>
      <c r="O147" s="161"/>
      <c r="P147" s="160"/>
      <c r="Q147" s="161"/>
      <c r="R147" s="160"/>
      <c r="S147" s="160"/>
    </row>
    <row r="148" spans="1:19" x14ac:dyDescent="0.25">
      <c r="A148" s="160"/>
      <c r="B148" s="160"/>
      <c r="C148" s="160"/>
      <c r="D148" s="160"/>
      <c r="E148" s="160"/>
      <c r="F148" s="160"/>
      <c r="G148" s="160"/>
      <c r="H148" s="160"/>
      <c r="I148" s="160"/>
      <c r="J148" s="160"/>
      <c r="K148" s="160"/>
      <c r="L148" s="160"/>
      <c r="M148" s="161"/>
      <c r="N148" s="160"/>
      <c r="O148" s="161"/>
      <c r="P148" s="160"/>
      <c r="Q148" s="161"/>
      <c r="R148" s="160"/>
      <c r="S148" s="160"/>
    </row>
    <row r="149" spans="1:19" x14ac:dyDescent="0.25">
      <c r="M149" s="130"/>
    </row>
  </sheetData>
  <mergeCells count="4">
    <mergeCell ref="I4:N4"/>
    <mergeCell ref="O4:P4"/>
    <mergeCell ref="Q4:R4"/>
    <mergeCell ref="A4:H4"/>
  </mergeCells>
  <conditionalFormatting sqref="N24:O29 P6:P17 R6 A24:A147 A15:B15 B28 D28 A16:D23 D15 A7:D14 L6:O23 I7:K104 F7:F23 F28 E7:E104 A6:K6 H7:H23 G7:G104">
    <cfRule type="expression" dxfId="59" priority="82">
      <formula>$A$16=FALSE</formula>
    </cfRule>
  </conditionalFormatting>
  <conditionalFormatting sqref="B24:D24 F24">
    <cfRule type="expression" dxfId="58" priority="64">
      <formula>$A$16=FALSE</formula>
    </cfRule>
  </conditionalFormatting>
  <conditionalFormatting sqref="B25:D25 F25">
    <cfRule type="expression" dxfId="57" priority="63">
      <formula>$A$16=FALSE</formula>
    </cfRule>
  </conditionalFormatting>
  <conditionalFormatting sqref="B26:D26 F26">
    <cfRule type="expression" dxfId="56" priority="62">
      <formula>$A$16=FALSE</formula>
    </cfRule>
  </conditionalFormatting>
  <conditionalFormatting sqref="B27:D27 F27">
    <cfRule type="expression" dxfId="55" priority="61">
      <formula>$A$16=FALSE</formula>
    </cfRule>
  </conditionalFormatting>
  <conditionalFormatting sqref="B29 D29 F29">
    <cfRule type="expression" dxfId="54" priority="60">
      <formula>$A$16=FALSE</formula>
    </cfRule>
  </conditionalFormatting>
  <conditionalFormatting sqref="B30 D30 F30">
    <cfRule type="expression" dxfId="53" priority="59">
      <formula>$A$16=FALSE</formula>
    </cfRule>
  </conditionalFormatting>
  <conditionalFormatting sqref="B31 D31 F31">
    <cfRule type="expression" dxfId="52" priority="58">
      <formula>$A$16=FALSE</formula>
    </cfRule>
  </conditionalFormatting>
  <conditionalFormatting sqref="B32 D32 F32">
    <cfRule type="expression" dxfId="51" priority="57">
      <formula>$A$16=FALSE</formula>
    </cfRule>
  </conditionalFormatting>
  <conditionalFormatting sqref="B33 D33 F33">
    <cfRule type="expression" dxfId="50" priority="56">
      <formula>$A$16=FALSE</formula>
    </cfRule>
  </conditionalFormatting>
  <conditionalFormatting sqref="B34 D34 F34">
    <cfRule type="expression" dxfId="49" priority="55">
      <formula>$A$16=FALSE</formula>
    </cfRule>
  </conditionalFormatting>
  <conditionalFormatting sqref="B35 D35 F35">
    <cfRule type="expression" dxfId="48" priority="54">
      <formula>$A$16=FALSE</formula>
    </cfRule>
  </conditionalFormatting>
  <conditionalFormatting sqref="B36 D36 F36">
    <cfRule type="expression" dxfId="47" priority="53">
      <formula>$A$16=FALSE</formula>
    </cfRule>
  </conditionalFormatting>
  <conditionalFormatting sqref="L28">
    <cfRule type="expression" dxfId="46" priority="52">
      <formula>$A$16=FALSE</formula>
    </cfRule>
  </conditionalFormatting>
  <conditionalFormatting sqref="L29">
    <cfRule type="expression" dxfId="45" priority="51">
      <formula>$A$16=FALSE</formula>
    </cfRule>
  </conditionalFormatting>
  <conditionalFormatting sqref="L30">
    <cfRule type="expression" dxfId="44" priority="50">
      <formula>$A$16=FALSE</formula>
    </cfRule>
  </conditionalFormatting>
  <conditionalFormatting sqref="L31">
    <cfRule type="expression" dxfId="43" priority="49">
      <formula>$A$16=FALSE</formula>
    </cfRule>
  </conditionalFormatting>
  <conditionalFormatting sqref="L32">
    <cfRule type="expression" dxfId="42" priority="48">
      <formula>$A$16=FALSE</formula>
    </cfRule>
  </conditionalFormatting>
  <conditionalFormatting sqref="L33">
    <cfRule type="expression" dxfId="41" priority="47">
      <formula>$A$16=FALSE</formula>
    </cfRule>
  </conditionalFormatting>
  <conditionalFormatting sqref="L34">
    <cfRule type="expression" dxfId="40" priority="46">
      <formula>$A$16=FALSE</formula>
    </cfRule>
  </conditionalFormatting>
  <conditionalFormatting sqref="L35">
    <cfRule type="expression" dxfId="39" priority="45">
      <formula>$A$16=FALSE</formula>
    </cfRule>
  </conditionalFormatting>
  <conditionalFormatting sqref="L36">
    <cfRule type="expression" dxfId="38" priority="44">
      <formula>$A$16=FALSE</formula>
    </cfRule>
  </conditionalFormatting>
  <conditionalFormatting sqref="L37">
    <cfRule type="expression" dxfId="37" priority="43">
      <formula>$A$16=FALSE</formula>
    </cfRule>
  </conditionalFormatting>
  <conditionalFormatting sqref="M28:M37">
    <cfRule type="expression" dxfId="36" priority="41">
      <formula>$A$16=FALSE</formula>
    </cfRule>
  </conditionalFormatting>
  <conditionalFormatting sqref="L24:M24">
    <cfRule type="expression" dxfId="35" priority="38">
      <formula>$A$16=FALSE</formula>
    </cfRule>
  </conditionalFormatting>
  <conditionalFormatting sqref="L25:M25">
    <cfRule type="expression" dxfId="34" priority="37">
      <formula>$A$16=FALSE</formula>
    </cfRule>
  </conditionalFormatting>
  <conditionalFormatting sqref="L26:M26">
    <cfRule type="expression" dxfId="33" priority="36">
      <formula>$A$16=FALSE</formula>
    </cfRule>
  </conditionalFormatting>
  <conditionalFormatting sqref="L27:M27">
    <cfRule type="expression" dxfId="32" priority="35">
      <formula>$A$16=FALSE</formula>
    </cfRule>
  </conditionalFormatting>
  <conditionalFormatting sqref="M6">
    <cfRule type="timePeriod" dxfId="31" priority="12" timePeriod="lastWeek">
      <formula>AND(TODAY()-ROUNDDOWN(M6,0)&gt;=(WEEKDAY(TODAY())),TODAY()-ROUNDDOWN(M6,0)&lt;(WEEKDAY(TODAY())+7))</formula>
    </cfRule>
  </conditionalFormatting>
  <conditionalFormatting sqref="M10">
    <cfRule type="timePeriod" dxfId="30" priority="11" timePeriod="lastWeek">
      <formula>AND(TODAY()-ROUNDDOWN(M10,0)&gt;=(WEEKDAY(TODAY())),TODAY()-ROUNDDOWN(M10,0)&lt;(WEEKDAY(TODAY())+7))</formula>
    </cfRule>
  </conditionalFormatting>
  <conditionalFormatting sqref="M11">
    <cfRule type="timePeriod" dxfId="29" priority="10" timePeriod="lastWeek">
      <formula>AND(TODAY()-ROUNDDOWN(M11,0)&gt;=(WEEKDAY(TODAY())),TODAY()-ROUNDDOWN(M11,0)&lt;(WEEKDAY(TODAY())+7))</formula>
    </cfRule>
  </conditionalFormatting>
  <conditionalFormatting sqref="M13">
    <cfRule type="timePeriod" dxfId="28" priority="9" timePeriod="lastWeek">
      <formula>AND(TODAY()-ROUNDDOWN(M13,0)&gt;=(WEEKDAY(TODAY())),TODAY()-ROUNDDOWN(M13,0)&lt;(WEEKDAY(TODAY())+7))</formula>
    </cfRule>
  </conditionalFormatting>
  <conditionalFormatting sqref="M12">
    <cfRule type="timePeriod" dxfId="27" priority="8" timePeriod="lastWeek">
      <formula>AND(TODAY()-ROUNDDOWN(M12,0)&gt;=(WEEKDAY(TODAY())),TODAY()-ROUNDDOWN(M12,0)&lt;(WEEKDAY(TODAY())+7))</formula>
    </cfRule>
  </conditionalFormatting>
  <conditionalFormatting sqref="M8">
    <cfRule type="timePeriod" dxfId="26" priority="7" timePeriod="lastWeek">
      <formula>AND(TODAY()-ROUNDDOWN(M8,0)&gt;=(WEEKDAY(TODAY())),TODAY()-ROUNDDOWN(M8,0)&lt;(WEEKDAY(TODAY())+7))</formula>
    </cfRule>
  </conditionalFormatting>
  <conditionalFormatting sqref="L38:M38">
    <cfRule type="expression" dxfId="25" priority="6">
      <formula>$A$16=FALSE</formula>
    </cfRule>
  </conditionalFormatting>
  <conditionalFormatting sqref="M38">
    <cfRule type="timePeriod" dxfId="24" priority="5" timePeriod="lastWeek">
      <formula>AND(TODAY()-ROUNDDOWN(M38,0)&gt;=(WEEKDAY(TODAY())),TODAY()-ROUNDDOWN(M38,0)&lt;(WEEKDAY(TODAY())+7))</formula>
    </cfRule>
  </conditionalFormatting>
  <conditionalFormatting sqref="M16">
    <cfRule type="timePeriod" dxfId="23" priority="4" timePeriod="lastWeek">
      <formula>AND(TODAY()-ROUNDDOWN(M16,0)&gt;=(WEEKDAY(TODAY())),TODAY()-ROUNDDOWN(M16,0)&lt;(WEEKDAY(TODAY())+7))</formula>
    </cfRule>
  </conditionalFormatting>
  <conditionalFormatting sqref="M14">
    <cfRule type="timePeriod" dxfId="22" priority="3" timePeriod="lastWeek">
      <formula>AND(TODAY()-ROUNDDOWN(M14,0)&gt;=(WEEKDAY(TODAY())),TODAY()-ROUNDDOWN(M14,0)&lt;(WEEKDAY(TODAY())+7))</formula>
    </cfRule>
  </conditionalFormatting>
  <conditionalFormatting sqref="M15">
    <cfRule type="timePeriod" dxfId="21" priority="2" timePeriod="lastWeek">
      <formula>AND(TODAY()-ROUNDDOWN(M15,0)&gt;=(WEEKDAY(TODAY())),TODAY()-ROUNDDOWN(M15,0)&lt;(WEEKDAY(TODAY())+7))</formula>
    </cfRule>
  </conditionalFormatting>
  <conditionalFormatting sqref="Q6:Q103">
    <cfRule type="expression" dxfId="20" priority="1">
      <formula>$A$16=FALSE</formula>
    </cfRule>
  </conditionalFormatting>
  <dataValidations count="2">
    <dataValidation type="list" allowBlank="1" showInputMessage="1" showErrorMessage="1" sqref="I6:K104 Q6:Q103">
      <formula1>$T$2:$T$4</formula1>
    </dataValidation>
    <dataValidation type="list" allowBlank="1" showInputMessage="1" showErrorMessage="1" sqref="E6:E104 G6:G104">
      <formula1>$U$3:$U$4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20"/>
  <sheetViews>
    <sheetView workbookViewId="0">
      <selection activeCell="F53" sqref="F53"/>
    </sheetView>
  </sheetViews>
  <sheetFormatPr defaultRowHeight="15" x14ac:dyDescent="0.25"/>
  <cols>
    <col min="1" max="1" width="9.7109375" customWidth="1"/>
    <col min="2" max="5" width="11" customWidth="1"/>
    <col min="6" max="6" width="65" customWidth="1"/>
    <col min="7" max="7" width="61.5703125" customWidth="1"/>
    <col min="8" max="8" width="13.5703125" bestFit="1" customWidth="1"/>
    <col min="9" max="9" width="14.42578125" bestFit="1" customWidth="1"/>
    <col min="10" max="10" width="14.7109375" bestFit="1" customWidth="1"/>
    <col min="11" max="11" width="14.42578125" bestFit="1" customWidth="1"/>
    <col min="12" max="12" width="65.5703125" customWidth="1"/>
  </cols>
  <sheetData>
    <row r="1" spans="1:12" ht="18.75" x14ac:dyDescent="0.3">
      <c r="A1" s="66" t="s">
        <v>0</v>
      </c>
      <c r="B1" s="66" t="str">
        <f>'Design Review Top'!B1</f>
        <v>ABC-001</v>
      </c>
      <c r="C1" s="66"/>
      <c r="D1" s="67"/>
      <c r="E1" s="67"/>
      <c r="F1" s="77" t="s">
        <v>45</v>
      </c>
      <c r="G1" s="67"/>
      <c r="H1" s="67"/>
      <c r="I1" s="67"/>
      <c r="J1" s="67"/>
      <c r="K1" s="67"/>
      <c r="L1" s="67"/>
    </row>
    <row r="2" spans="1:12" ht="18.75" x14ac:dyDescent="0.3">
      <c r="A2" s="66" t="s">
        <v>5</v>
      </c>
      <c r="B2" s="66" t="str">
        <f>'Design Review Top'!B2</f>
        <v>ABC-001_Board</v>
      </c>
      <c r="C2" s="66"/>
      <c r="D2" s="67"/>
      <c r="E2" s="67"/>
      <c r="F2" s="67"/>
      <c r="G2" s="67"/>
      <c r="H2" s="40" t="s">
        <v>21</v>
      </c>
      <c r="I2" s="65">
        <f>'Design Review Top'!I3</f>
        <v>1.4</v>
      </c>
      <c r="J2" s="67"/>
      <c r="K2" s="67"/>
      <c r="L2" s="67"/>
    </row>
    <row r="3" spans="1:12" x14ac:dyDescent="0.25">
      <c r="A3" s="68" t="s">
        <v>22</v>
      </c>
      <c r="B3" s="192">
        <f>'Design Review Top'!B3</f>
        <v>1</v>
      </c>
      <c r="C3" s="68"/>
      <c r="D3" s="67"/>
      <c r="E3" s="67"/>
      <c r="F3" s="67"/>
      <c r="G3" s="67"/>
      <c r="H3" s="67"/>
      <c r="I3" s="67"/>
      <c r="J3" s="67"/>
      <c r="K3" s="67"/>
      <c r="L3" s="67"/>
    </row>
    <row r="4" spans="1:12" x14ac:dyDescent="0.25">
      <c r="A4" s="70"/>
      <c r="B4" s="252" t="s">
        <v>39</v>
      </c>
      <c r="C4" s="252"/>
      <c r="D4" s="252"/>
      <c r="E4" s="252"/>
      <c r="F4" s="253" t="s">
        <v>98</v>
      </c>
      <c r="G4" s="253"/>
      <c r="H4" s="253"/>
      <c r="I4" s="253"/>
      <c r="J4" s="254" t="s">
        <v>36</v>
      </c>
      <c r="K4" s="254"/>
      <c r="L4" s="254"/>
    </row>
    <row r="5" spans="1:12" x14ac:dyDescent="0.25">
      <c r="A5" s="74" t="s">
        <v>1</v>
      </c>
      <c r="B5" s="75" t="s">
        <v>40</v>
      </c>
      <c r="C5" s="75" t="s">
        <v>2</v>
      </c>
      <c r="D5" s="75" t="s">
        <v>41</v>
      </c>
      <c r="E5" s="75" t="s">
        <v>42</v>
      </c>
      <c r="F5" s="76" t="s">
        <v>43</v>
      </c>
      <c r="G5" s="76" t="s">
        <v>44</v>
      </c>
      <c r="H5" s="73" t="s">
        <v>139</v>
      </c>
      <c r="I5" s="73" t="s">
        <v>140</v>
      </c>
      <c r="J5" s="72" t="s">
        <v>4</v>
      </c>
      <c r="K5" s="72" t="s">
        <v>29</v>
      </c>
      <c r="L5" s="72" t="s">
        <v>8</v>
      </c>
    </row>
    <row r="6" spans="1:12" x14ac:dyDescent="0.25">
      <c r="A6" s="69">
        <v>1</v>
      </c>
      <c r="B6" s="122"/>
      <c r="C6" s="71"/>
      <c r="D6" s="122"/>
      <c r="E6" s="71"/>
      <c r="F6" s="124"/>
      <c r="G6" s="124"/>
      <c r="H6" s="64"/>
      <c r="I6" s="228"/>
      <c r="J6" s="64"/>
      <c r="K6" s="228"/>
      <c r="L6" s="64"/>
    </row>
    <row r="7" spans="1:12" x14ac:dyDescent="0.25">
      <c r="A7" s="69">
        <v>2</v>
      </c>
      <c r="B7" s="123"/>
      <c r="C7" s="71"/>
      <c r="D7" s="123"/>
      <c r="E7" s="71"/>
      <c r="F7" s="125"/>
      <c r="G7" s="125"/>
      <c r="H7" s="64"/>
      <c r="I7" s="228"/>
      <c r="J7" s="64"/>
      <c r="K7" s="228"/>
      <c r="L7" s="64"/>
    </row>
    <row r="8" spans="1:12" x14ac:dyDescent="0.25">
      <c r="A8" s="69">
        <v>3</v>
      </c>
      <c r="B8" s="71"/>
      <c r="C8" s="71"/>
      <c r="D8" s="71"/>
      <c r="E8" s="71"/>
      <c r="F8" s="64"/>
      <c r="G8" s="64"/>
      <c r="H8" s="64"/>
      <c r="I8" s="228"/>
      <c r="J8" s="64"/>
      <c r="K8" s="228"/>
      <c r="L8" s="64"/>
    </row>
    <row r="9" spans="1:12" x14ac:dyDescent="0.25">
      <c r="A9" s="69">
        <v>4</v>
      </c>
      <c r="B9" s="71"/>
      <c r="C9" s="71"/>
      <c r="D9" s="71"/>
      <c r="E9" s="71"/>
      <c r="F9" s="64"/>
      <c r="G9" s="64"/>
      <c r="H9" s="64"/>
      <c r="I9" s="64"/>
      <c r="J9" s="64"/>
      <c r="K9" s="64"/>
      <c r="L9" s="64"/>
    </row>
    <row r="10" spans="1:12" x14ac:dyDescent="0.25">
      <c r="A10" s="69">
        <v>5</v>
      </c>
      <c r="B10" s="71"/>
      <c r="C10" s="71"/>
      <c r="D10" s="71"/>
      <c r="E10" s="71"/>
      <c r="F10" s="64"/>
      <c r="G10" s="64"/>
      <c r="H10" s="64"/>
      <c r="I10" s="64"/>
      <c r="J10" s="64"/>
      <c r="K10" s="64"/>
      <c r="L10" s="64"/>
    </row>
    <row r="11" spans="1:12" x14ac:dyDescent="0.25">
      <c r="A11" s="69">
        <v>6</v>
      </c>
      <c r="B11" s="71"/>
      <c r="C11" s="71"/>
      <c r="D11" s="71"/>
      <c r="E11" s="71"/>
      <c r="F11" s="64"/>
      <c r="G11" s="64"/>
      <c r="H11" s="64"/>
      <c r="I11" s="64"/>
      <c r="J11" s="64"/>
      <c r="K11" s="64"/>
      <c r="L11" s="64"/>
    </row>
    <row r="12" spans="1:12" x14ac:dyDescent="0.25">
      <c r="A12" s="69">
        <v>7</v>
      </c>
      <c r="B12" s="71"/>
      <c r="C12" s="71"/>
      <c r="D12" s="71"/>
      <c r="E12" s="71"/>
      <c r="F12" s="64"/>
      <c r="G12" s="64"/>
      <c r="H12" s="64"/>
      <c r="I12" s="64"/>
      <c r="J12" s="64"/>
      <c r="K12" s="64"/>
      <c r="L12" s="64"/>
    </row>
    <row r="13" spans="1:12" x14ac:dyDescent="0.25">
      <c r="A13" s="69">
        <v>8</v>
      </c>
      <c r="B13" s="71"/>
      <c r="C13" s="71"/>
      <c r="D13" s="71"/>
      <c r="E13" s="71"/>
      <c r="F13" s="64"/>
      <c r="G13" s="64"/>
      <c r="H13" s="64"/>
      <c r="I13" s="64"/>
      <c r="J13" s="64"/>
      <c r="K13" s="64"/>
      <c r="L13" s="64"/>
    </row>
    <row r="14" spans="1:12" x14ac:dyDescent="0.25">
      <c r="A14" s="69">
        <v>9</v>
      </c>
      <c r="B14" s="71"/>
      <c r="C14" s="71"/>
      <c r="D14" s="71"/>
      <c r="E14" s="71"/>
      <c r="F14" s="64"/>
      <c r="G14" s="64"/>
      <c r="H14" s="64"/>
      <c r="I14" s="64"/>
      <c r="J14" s="64"/>
      <c r="K14" s="64"/>
      <c r="L14" s="64"/>
    </row>
    <row r="15" spans="1:12" x14ac:dyDescent="0.25">
      <c r="A15" s="69">
        <v>10</v>
      </c>
      <c r="B15" s="71"/>
      <c r="C15" s="71"/>
      <c r="D15" s="71"/>
      <c r="E15" s="71"/>
      <c r="F15" s="64"/>
      <c r="G15" s="64"/>
      <c r="H15" s="64"/>
      <c r="I15" s="64"/>
      <c r="J15" s="64"/>
      <c r="K15" s="64"/>
      <c r="L15" s="64"/>
    </row>
    <row r="16" spans="1:12" x14ac:dyDescent="0.25">
      <c r="A16" s="69">
        <v>11</v>
      </c>
      <c r="B16" s="71"/>
      <c r="C16" s="71"/>
      <c r="D16" s="71"/>
      <c r="E16" s="71"/>
      <c r="F16" s="64"/>
      <c r="G16" s="64"/>
      <c r="H16" s="64"/>
      <c r="I16" s="64"/>
      <c r="J16" s="64"/>
      <c r="K16" s="64"/>
      <c r="L16" s="64"/>
    </row>
    <row r="17" spans="1:12" x14ac:dyDescent="0.25">
      <c r="A17" s="69">
        <v>12</v>
      </c>
      <c r="B17" s="71"/>
      <c r="C17" s="71"/>
      <c r="D17" s="71"/>
      <c r="E17" s="71"/>
      <c r="F17" s="64"/>
      <c r="G17" s="64"/>
      <c r="H17" s="64"/>
      <c r="I17" s="64"/>
      <c r="J17" s="64"/>
      <c r="K17" s="64"/>
      <c r="L17" s="64"/>
    </row>
    <row r="18" spans="1:12" x14ac:dyDescent="0.25">
      <c r="A18" s="69">
        <v>13</v>
      </c>
      <c r="B18" s="71"/>
      <c r="C18" s="71"/>
      <c r="D18" s="71"/>
      <c r="E18" s="71"/>
      <c r="F18" s="64"/>
      <c r="G18" s="64"/>
      <c r="H18" s="64"/>
      <c r="I18" s="64"/>
      <c r="J18" s="64"/>
      <c r="K18" s="64"/>
      <c r="L18" s="64"/>
    </row>
    <row r="19" spans="1:12" x14ac:dyDescent="0.25">
      <c r="A19" s="69">
        <v>14</v>
      </c>
      <c r="B19" s="71"/>
      <c r="C19" s="71"/>
      <c r="D19" s="71"/>
      <c r="E19" s="71"/>
      <c r="F19" s="64"/>
      <c r="G19" s="64"/>
      <c r="H19" s="64"/>
      <c r="I19" s="64"/>
      <c r="J19" s="64"/>
      <c r="K19" s="64"/>
      <c r="L19" s="64"/>
    </row>
    <row r="20" spans="1:12" x14ac:dyDescent="0.25">
      <c r="A20" s="69">
        <v>15</v>
      </c>
      <c r="B20" s="71"/>
      <c r="C20" s="71"/>
      <c r="D20" s="71"/>
      <c r="E20" s="71"/>
      <c r="F20" s="64"/>
      <c r="G20" s="64"/>
      <c r="H20" s="64"/>
      <c r="I20" s="64"/>
      <c r="J20" s="64"/>
      <c r="K20" s="64"/>
      <c r="L20" s="64"/>
    </row>
    <row r="21" spans="1:12" x14ac:dyDescent="0.25">
      <c r="A21" s="69">
        <v>16</v>
      </c>
      <c r="B21" s="71"/>
      <c r="C21" s="71"/>
      <c r="D21" s="71"/>
      <c r="E21" s="71"/>
      <c r="F21" s="64"/>
      <c r="G21" s="64"/>
      <c r="H21" s="64"/>
      <c r="I21" s="64"/>
      <c r="J21" s="64"/>
      <c r="K21" s="64"/>
      <c r="L21" s="64"/>
    </row>
    <row r="22" spans="1:12" x14ac:dyDescent="0.25">
      <c r="A22" s="69">
        <v>17</v>
      </c>
      <c r="B22" s="71"/>
      <c r="C22" s="71"/>
      <c r="D22" s="71"/>
      <c r="E22" s="71"/>
      <c r="F22" s="64"/>
      <c r="G22" s="64"/>
      <c r="H22" s="64"/>
      <c r="I22" s="64"/>
      <c r="J22" s="64"/>
      <c r="K22" s="64"/>
      <c r="L22" s="64"/>
    </row>
    <row r="23" spans="1:12" x14ac:dyDescent="0.25">
      <c r="A23" s="69">
        <v>18</v>
      </c>
      <c r="B23" s="71"/>
      <c r="C23" s="71"/>
      <c r="D23" s="71"/>
      <c r="E23" s="71"/>
      <c r="F23" s="64"/>
      <c r="G23" s="64"/>
      <c r="H23" s="64"/>
      <c r="I23" s="64"/>
      <c r="J23" s="64"/>
      <c r="K23" s="64"/>
      <c r="L23" s="64"/>
    </row>
    <row r="24" spans="1:12" x14ac:dyDescent="0.25">
      <c r="A24" s="69">
        <v>19</v>
      </c>
      <c r="B24" s="71"/>
      <c r="C24" s="71"/>
      <c r="D24" s="71"/>
      <c r="E24" s="71"/>
      <c r="F24" s="64"/>
      <c r="G24" s="64"/>
      <c r="H24" s="64"/>
      <c r="I24" s="64"/>
      <c r="J24" s="64"/>
      <c r="K24" s="64"/>
      <c r="L24" s="64"/>
    </row>
    <row r="25" spans="1:12" x14ac:dyDescent="0.25">
      <c r="A25" s="69">
        <v>20</v>
      </c>
      <c r="B25" s="71"/>
      <c r="C25" s="71"/>
      <c r="D25" s="71"/>
      <c r="E25" s="71"/>
      <c r="F25" s="64"/>
      <c r="G25" s="64"/>
      <c r="H25" s="64"/>
      <c r="I25" s="64"/>
      <c r="J25" s="64"/>
      <c r="K25" s="64"/>
      <c r="L25" s="64"/>
    </row>
    <row r="26" spans="1:12" x14ac:dyDescent="0.25">
      <c r="A26" s="69">
        <v>21</v>
      </c>
      <c r="B26" s="71"/>
      <c r="C26" s="71"/>
      <c r="D26" s="71"/>
      <c r="E26" s="71"/>
      <c r="F26" s="64"/>
      <c r="G26" s="64"/>
      <c r="H26" s="64"/>
      <c r="I26" s="64"/>
      <c r="J26" s="64"/>
      <c r="K26" s="64"/>
      <c r="L26" s="64"/>
    </row>
    <row r="27" spans="1:12" x14ac:dyDescent="0.25">
      <c r="A27" s="69">
        <v>22</v>
      </c>
      <c r="B27" s="71"/>
      <c r="C27" s="71"/>
      <c r="D27" s="71"/>
      <c r="E27" s="71"/>
      <c r="F27" s="64"/>
      <c r="G27" s="64"/>
      <c r="H27" s="64"/>
      <c r="I27" s="64"/>
      <c r="J27" s="64"/>
      <c r="K27" s="64"/>
      <c r="L27" s="64"/>
    </row>
    <row r="28" spans="1:12" x14ac:dyDescent="0.25">
      <c r="A28" s="69">
        <v>23</v>
      </c>
      <c r="B28" s="71"/>
      <c r="C28" s="71"/>
      <c r="D28" s="71"/>
      <c r="E28" s="71"/>
      <c r="F28" s="64"/>
      <c r="G28" s="64"/>
      <c r="H28" s="64"/>
      <c r="I28" s="64"/>
      <c r="J28" s="64"/>
      <c r="K28" s="64"/>
      <c r="L28" s="64"/>
    </row>
    <row r="29" spans="1:12" x14ac:dyDescent="0.25">
      <c r="A29" s="69">
        <v>24</v>
      </c>
      <c r="B29" s="71"/>
      <c r="C29" s="71"/>
      <c r="D29" s="71"/>
      <c r="E29" s="71"/>
      <c r="F29" s="64"/>
      <c r="G29" s="64"/>
      <c r="H29" s="64"/>
      <c r="I29" s="64"/>
      <c r="J29" s="64"/>
      <c r="K29" s="64"/>
      <c r="L29" s="64"/>
    </row>
    <row r="30" spans="1:12" x14ac:dyDescent="0.25">
      <c r="A30" s="69">
        <v>25</v>
      </c>
      <c r="B30" s="71"/>
      <c r="C30" s="71"/>
      <c r="D30" s="71"/>
      <c r="E30" s="71"/>
      <c r="F30" s="64"/>
      <c r="G30" s="64"/>
      <c r="H30" s="64"/>
      <c r="I30" s="64"/>
      <c r="J30" s="64"/>
      <c r="K30" s="64"/>
      <c r="L30" s="64"/>
    </row>
    <row r="31" spans="1:12" x14ac:dyDescent="0.25">
      <c r="A31" s="69">
        <v>26</v>
      </c>
      <c r="B31" s="71"/>
      <c r="C31" s="71"/>
      <c r="D31" s="71"/>
      <c r="E31" s="71"/>
      <c r="F31" s="64"/>
      <c r="G31" s="64"/>
      <c r="H31" s="64"/>
      <c r="I31" s="64"/>
      <c r="J31" s="64"/>
      <c r="K31" s="64"/>
      <c r="L31" s="64"/>
    </row>
    <row r="32" spans="1:12" x14ac:dyDescent="0.25">
      <c r="A32" s="69">
        <v>27</v>
      </c>
      <c r="B32" s="71"/>
      <c r="C32" s="71"/>
      <c r="D32" s="71"/>
      <c r="E32" s="71"/>
      <c r="F32" s="64"/>
      <c r="G32" s="64"/>
      <c r="H32" s="64"/>
      <c r="I32" s="64"/>
      <c r="J32" s="64"/>
      <c r="K32" s="64"/>
      <c r="L32" s="64"/>
    </row>
    <row r="33" spans="1:12" x14ac:dyDescent="0.25">
      <c r="A33" s="69">
        <v>28</v>
      </c>
      <c r="B33" s="71"/>
      <c r="C33" s="71"/>
      <c r="D33" s="71"/>
      <c r="E33" s="71"/>
      <c r="F33" s="64"/>
      <c r="G33" s="64"/>
      <c r="H33" s="64"/>
      <c r="I33" s="64"/>
      <c r="J33" s="64"/>
      <c r="K33" s="64"/>
      <c r="L33" s="64"/>
    </row>
    <row r="34" spans="1:12" x14ac:dyDescent="0.25">
      <c r="A34" s="69">
        <v>29</v>
      </c>
      <c r="B34" s="71"/>
      <c r="C34" s="71"/>
      <c r="D34" s="71"/>
      <c r="E34" s="71"/>
      <c r="F34" s="64"/>
      <c r="G34" s="64"/>
      <c r="H34" s="64"/>
      <c r="I34" s="64"/>
      <c r="J34" s="64"/>
      <c r="K34" s="64"/>
      <c r="L34" s="64"/>
    </row>
    <row r="35" spans="1:12" x14ac:dyDescent="0.25">
      <c r="A35" s="69">
        <v>30</v>
      </c>
      <c r="B35" s="71"/>
      <c r="C35" s="71"/>
      <c r="D35" s="71"/>
      <c r="E35" s="71"/>
      <c r="F35" s="64"/>
      <c r="G35" s="64"/>
      <c r="H35" s="64"/>
      <c r="I35" s="64"/>
      <c r="J35" s="64"/>
      <c r="K35" s="64"/>
      <c r="L35" s="64"/>
    </row>
    <row r="36" spans="1:12" x14ac:dyDescent="0.25">
      <c r="A36" s="69">
        <v>31</v>
      </c>
      <c r="B36" s="71"/>
      <c r="C36" s="71"/>
      <c r="D36" s="71"/>
      <c r="E36" s="71"/>
      <c r="F36" s="64"/>
      <c r="G36" s="64"/>
      <c r="H36" s="64"/>
      <c r="I36" s="64"/>
      <c r="J36" s="64"/>
      <c r="K36" s="64"/>
      <c r="L36" s="64"/>
    </row>
    <row r="37" spans="1:12" x14ac:dyDescent="0.25">
      <c r="A37" s="69">
        <v>32</v>
      </c>
      <c r="B37" s="71"/>
      <c r="C37" s="71"/>
      <c r="D37" s="71"/>
      <c r="E37" s="71"/>
      <c r="F37" s="64"/>
      <c r="G37" s="64"/>
      <c r="H37" s="64"/>
      <c r="I37" s="64"/>
      <c r="J37" s="64"/>
      <c r="K37" s="64"/>
      <c r="L37" s="64"/>
    </row>
    <row r="38" spans="1:12" x14ac:dyDescent="0.25">
      <c r="A38" s="69">
        <v>33</v>
      </c>
      <c r="B38" s="71"/>
      <c r="C38" s="71"/>
      <c r="D38" s="71"/>
      <c r="E38" s="71"/>
      <c r="F38" s="64"/>
      <c r="G38" s="64"/>
      <c r="H38" s="64"/>
      <c r="I38" s="64"/>
      <c r="J38" s="64"/>
      <c r="K38" s="64"/>
      <c r="L38" s="64"/>
    </row>
    <row r="39" spans="1:12" x14ac:dyDescent="0.25">
      <c r="A39" s="69">
        <v>34</v>
      </c>
      <c r="B39" s="71"/>
      <c r="C39" s="71"/>
      <c r="D39" s="71"/>
      <c r="E39" s="71"/>
      <c r="F39" s="64"/>
      <c r="G39" s="64"/>
      <c r="H39" s="64"/>
      <c r="I39" s="64"/>
      <c r="J39" s="64"/>
      <c r="K39" s="64"/>
      <c r="L39" s="64"/>
    </row>
    <row r="40" spans="1:12" x14ac:dyDescent="0.25">
      <c r="A40" s="69">
        <v>35</v>
      </c>
      <c r="B40" s="71"/>
      <c r="C40" s="71"/>
      <c r="D40" s="71"/>
      <c r="E40" s="71"/>
      <c r="F40" s="64"/>
      <c r="G40" s="64"/>
      <c r="H40" s="64"/>
      <c r="I40" s="64"/>
      <c r="J40" s="64"/>
      <c r="K40" s="64"/>
      <c r="L40" s="64"/>
    </row>
    <row r="41" spans="1:12" x14ac:dyDescent="0.25">
      <c r="A41" s="69">
        <v>36</v>
      </c>
      <c r="B41" s="71"/>
      <c r="C41" s="71"/>
      <c r="D41" s="71"/>
      <c r="E41" s="71"/>
      <c r="F41" s="64"/>
      <c r="G41" s="64"/>
      <c r="H41" s="64"/>
      <c r="I41" s="64"/>
      <c r="J41" s="64"/>
      <c r="K41" s="64"/>
      <c r="L41" s="64"/>
    </row>
    <row r="42" spans="1:12" x14ac:dyDescent="0.25">
      <c r="A42" s="69">
        <v>37</v>
      </c>
      <c r="B42" s="71"/>
      <c r="C42" s="71"/>
      <c r="D42" s="71"/>
      <c r="E42" s="71"/>
      <c r="F42" s="64"/>
      <c r="G42" s="64"/>
      <c r="H42" s="64"/>
      <c r="I42" s="64"/>
      <c r="J42" s="64"/>
      <c r="K42" s="64"/>
      <c r="L42" s="64"/>
    </row>
    <row r="43" spans="1:12" x14ac:dyDescent="0.25">
      <c r="A43" s="69">
        <v>38</v>
      </c>
      <c r="B43" s="71"/>
      <c r="C43" s="71"/>
      <c r="D43" s="71"/>
      <c r="E43" s="71"/>
      <c r="F43" s="64"/>
      <c r="G43" s="64"/>
      <c r="H43" s="64"/>
      <c r="I43" s="64"/>
      <c r="J43" s="64"/>
      <c r="K43" s="64"/>
      <c r="L43" s="64"/>
    </row>
    <row r="44" spans="1:12" x14ac:dyDescent="0.25">
      <c r="A44" s="69">
        <v>39</v>
      </c>
      <c r="B44" s="71"/>
      <c r="C44" s="71"/>
      <c r="D44" s="71"/>
      <c r="E44" s="71"/>
      <c r="F44" s="64"/>
      <c r="G44" s="64"/>
      <c r="H44" s="64"/>
      <c r="I44" s="64"/>
      <c r="J44" s="64"/>
      <c r="K44" s="64"/>
      <c r="L44" s="64"/>
    </row>
    <row r="45" spans="1:12" x14ac:dyDescent="0.25">
      <c r="A45" s="69">
        <v>40</v>
      </c>
      <c r="B45" s="71"/>
      <c r="C45" s="71"/>
      <c r="D45" s="71"/>
      <c r="E45" s="71"/>
      <c r="F45" s="64"/>
      <c r="G45" s="64"/>
      <c r="H45" s="64"/>
      <c r="I45" s="64"/>
      <c r="J45" s="64"/>
      <c r="K45" s="64"/>
      <c r="L45" s="64"/>
    </row>
    <row r="46" spans="1:12" x14ac:dyDescent="0.25">
      <c r="A46" s="69">
        <v>41</v>
      </c>
      <c r="B46" s="71"/>
      <c r="C46" s="71"/>
      <c r="D46" s="71"/>
      <c r="E46" s="71"/>
      <c r="F46" s="64"/>
      <c r="G46" s="64"/>
      <c r="H46" s="64"/>
      <c r="I46" s="64"/>
      <c r="J46" s="64"/>
      <c r="K46" s="64"/>
      <c r="L46" s="64"/>
    </row>
    <row r="47" spans="1:12" x14ac:dyDescent="0.25">
      <c r="A47" s="69">
        <v>42</v>
      </c>
      <c r="B47" s="71"/>
      <c r="C47" s="71"/>
      <c r="D47" s="71"/>
      <c r="E47" s="71"/>
      <c r="F47" s="64"/>
      <c r="G47" s="64"/>
      <c r="H47" s="64"/>
      <c r="I47" s="64"/>
      <c r="J47" s="64"/>
      <c r="K47" s="64"/>
      <c r="L47" s="64"/>
    </row>
    <row r="48" spans="1:12" x14ac:dyDescent="0.25">
      <c r="A48" s="69">
        <v>43</v>
      </c>
      <c r="B48" s="71"/>
      <c r="C48" s="71"/>
      <c r="D48" s="71"/>
      <c r="E48" s="71"/>
      <c r="F48" s="64"/>
      <c r="G48" s="64"/>
      <c r="H48" s="64"/>
      <c r="I48" s="64"/>
      <c r="J48" s="64"/>
      <c r="K48" s="64"/>
      <c r="L48" s="64"/>
    </row>
    <row r="49" spans="1:12" x14ac:dyDescent="0.25">
      <c r="A49" s="69">
        <v>44</v>
      </c>
      <c r="B49" s="71"/>
      <c r="C49" s="71"/>
      <c r="D49" s="71"/>
      <c r="E49" s="71"/>
      <c r="F49" s="64"/>
      <c r="G49" s="64"/>
      <c r="H49" s="64"/>
      <c r="I49" s="64"/>
      <c r="J49" s="64"/>
      <c r="K49" s="64"/>
      <c r="L49" s="64"/>
    </row>
    <row r="50" spans="1:12" x14ac:dyDescent="0.25">
      <c r="A50" s="69">
        <v>45</v>
      </c>
      <c r="B50" s="71"/>
      <c r="C50" s="71"/>
      <c r="D50" s="71"/>
      <c r="E50" s="71"/>
      <c r="F50" s="64"/>
      <c r="G50" s="64"/>
      <c r="H50" s="64"/>
      <c r="I50" s="64"/>
      <c r="J50" s="64"/>
      <c r="K50" s="64"/>
      <c r="L50" s="64"/>
    </row>
    <row r="51" spans="1:12" x14ac:dyDescent="0.25">
      <c r="A51" s="69">
        <v>46</v>
      </c>
      <c r="B51" s="71"/>
      <c r="C51" s="71"/>
      <c r="D51" s="71"/>
      <c r="E51" s="71"/>
      <c r="F51" s="64"/>
      <c r="G51" s="64"/>
      <c r="H51" s="64"/>
      <c r="I51" s="64"/>
      <c r="J51" s="64"/>
      <c r="K51" s="64"/>
      <c r="L51" s="64"/>
    </row>
    <row r="52" spans="1:12" x14ac:dyDescent="0.25">
      <c r="A52" s="69">
        <v>47</v>
      </c>
      <c r="B52" s="71"/>
      <c r="C52" s="71"/>
      <c r="D52" s="71"/>
      <c r="E52" s="71"/>
      <c r="F52" s="64"/>
      <c r="G52" s="64"/>
      <c r="H52" s="64"/>
      <c r="I52" s="64"/>
      <c r="J52" s="64"/>
      <c r="K52" s="64"/>
      <c r="L52" s="64"/>
    </row>
    <row r="53" spans="1:12" x14ac:dyDescent="0.25">
      <c r="A53" s="69">
        <v>48</v>
      </c>
      <c r="B53" s="71"/>
      <c r="C53" s="71"/>
      <c r="D53" s="71"/>
      <c r="E53" s="71"/>
      <c r="F53" s="64"/>
      <c r="G53" s="64"/>
      <c r="H53" s="64"/>
      <c r="I53" s="64"/>
      <c r="J53" s="64"/>
      <c r="K53" s="64"/>
      <c r="L53" s="64"/>
    </row>
    <row r="54" spans="1:12" x14ac:dyDescent="0.25">
      <c r="A54" s="69">
        <v>49</v>
      </c>
      <c r="B54" s="71"/>
      <c r="C54" s="71"/>
      <c r="D54" s="71"/>
      <c r="E54" s="71"/>
      <c r="F54" s="64"/>
      <c r="G54" s="64"/>
      <c r="H54" s="64"/>
      <c r="I54" s="64"/>
      <c r="J54" s="64"/>
      <c r="K54" s="64"/>
      <c r="L54" s="64"/>
    </row>
    <row r="55" spans="1:12" x14ac:dyDescent="0.25">
      <c r="A55" s="69">
        <v>50</v>
      </c>
      <c r="B55" s="71"/>
      <c r="C55" s="71"/>
      <c r="D55" s="71"/>
      <c r="E55" s="71"/>
      <c r="F55" s="64"/>
      <c r="G55" s="64"/>
      <c r="H55" s="64"/>
      <c r="I55" s="64"/>
      <c r="J55" s="64"/>
      <c r="K55" s="64"/>
      <c r="L55" s="64"/>
    </row>
    <row r="56" spans="1:12" x14ac:dyDescent="0.25">
      <c r="A56" s="69"/>
      <c r="B56" s="71"/>
      <c r="C56" s="71"/>
      <c r="D56" s="71"/>
      <c r="E56" s="71"/>
      <c r="F56" s="64"/>
      <c r="G56" s="64"/>
      <c r="H56" s="64"/>
      <c r="I56" s="64"/>
      <c r="J56" s="64"/>
      <c r="K56" s="64"/>
      <c r="L56" s="64"/>
    </row>
    <row r="57" spans="1:12" x14ac:dyDescent="0.25">
      <c r="A57" s="69"/>
      <c r="B57" s="71"/>
      <c r="C57" s="71"/>
      <c r="D57" s="71"/>
      <c r="E57" s="71"/>
    </row>
    <row r="58" spans="1:12" x14ac:dyDescent="0.25">
      <c r="A58" s="69"/>
      <c r="B58" s="71"/>
      <c r="C58" s="71"/>
      <c r="D58" s="71"/>
      <c r="E58" s="71"/>
    </row>
    <row r="59" spans="1:12" x14ac:dyDescent="0.25">
      <c r="A59" s="69"/>
      <c r="B59" s="71"/>
      <c r="C59" s="71"/>
      <c r="D59" s="71"/>
      <c r="E59" s="71"/>
    </row>
    <row r="60" spans="1:12" x14ac:dyDescent="0.25">
      <c r="A60" s="69"/>
      <c r="B60" s="71"/>
      <c r="C60" s="71"/>
      <c r="D60" s="71"/>
      <c r="E60" s="71"/>
    </row>
    <row r="61" spans="1:12" x14ac:dyDescent="0.25">
      <c r="A61" s="69"/>
      <c r="B61" s="71"/>
      <c r="C61" s="71"/>
      <c r="D61" s="71"/>
      <c r="E61" s="71"/>
    </row>
    <row r="62" spans="1:12" x14ac:dyDescent="0.25">
      <c r="A62" s="69"/>
      <c r="B62" s="71"/>
      <c r="C62" s="71"/>
      <c r="D62" s="71"/>
      <c r="E62" s="71"/>
    </row>
    <row r="63" spans="1:12" x14ac:dyDescent="0.25">
      <c r="A63" s="69"/>
      <c r="B63" s="71"/>
      <c r="C63" s="71"/>
      <c r="D63" s="71"/>
      <c r="E63" s="71"/>
    </row>
    <row r="64" spans="1:12" x14ac:dyDescent="0.25">
      <c r="A64" s="69"/>
      <c r="B64" s="71"/>
      <c r="C64" s="71"/>
      <c r="D64" s="71"/>
      <c r="E64" s="71"/>
    </row>
    <row r="65" spans="1:5" x14ac:dyDescent="0.25">
      <c r="A65" s="69"/>
      <c r="B65" s="71"/>
      <c r="C65" s="71"/>
      <c r="D65" s="71"/>
      <c r="E65" s="71"/>
    </row>
    <row r="66" spans="1:5" x14ac:dyDescent="0.25">
      <c r="A66" s="69"/>
      <c r="B66" s="71"/>
      <c r="C66" s="71"/>
      <c r="D66" s="71"/>
      <c r="E66" s="71"/>
    </row>
    <row r="67" spans="1:5" x14ac:dyDescent="0.25">
      <c r="A67" s="69"/>
      <c r="B67" s="71"/>
      <c r="C67" s="71"/>
      <c r="D67" s="71"/>
      <c r="E67" s="71"/>
    </row>
    <row r="68" spans="1:5" x14ac:dyDescent="0.25">
      <c r="A68" s="69"/>
      <c r="B68" s="71"/>
      <c r="C68" s="71"/>
      <c r="D68" s="71"/>
      <c r="E68" s="71"/>
    </row>
    <row r="69" spans="1:5" x14ac:dyDescent="0.25">
      <c r="A69" s="69"/>
      <c r="B69" s="71"/>
      <c r="C69" s="71"/>
      <c r="D69" s="71"/>
      <c r="E69" s="71"/>
    </row>
    <row r="70" spans="1:5" x14ac:dyDescent="0.25">
      <c r="A70" s="69"/>
      <c r="B70" s="71"/>
      <c r="C70" s="71"/>
      <c r="D70" s="71"/>
      <c r="E70" s="71"/>
    </row>
    <row r="71" spans="1:5" x14ac:dyDescent="0.25">
      <c r="A71" s="69"/>
      <c r="B71" s="71"/>
      <c r="C71" s="71"/>
      <c r="D71" s="71"/>
      <c r="E71" s="71"/>
    </row>
    <row r="72" spans="1:5" x14ac:dyDescent="0.25">
      <c r="A72" s="69"/>
      <c r="B72" s="71"/>
      <c r="C72" s="71"/>
      <c r="D72" s="71"/>
      <c r="E72" s="71"/>
    </row>
    <row r="73" spans="1:5" x14ac:dyDescent="0.25">
      <c r="A73" s="69"/>
      <c r="B73" s="71"/>
      <c r="C73" s="71"/>
      <c r="D73" s="71"/>
      <c r="E73" s="71"/>
    </row>
    <row r="74" spans="1:5" x14ac:dyDescent="0.25">
      <c r="A74" s="69"/>
      <c r="B74" s="71"/>
      <c r="C74" s="71"/>
      <c r="D74" s="71"/>
      <c r="E74" s="71"/>
    </row>
    <row r="75" spans="1:5" x14ac:dyDescent="0.25">
      <c r="A75" s="69"/>
      <c r="B75" s="71"/>
      <c r="C75" s="71"/>
      <c r="D75" s="71"/>
      <c r="E75" s="71"/>
    </row>
    <row r="76" spans="1:5" x14ac:dyDescent="0.25">
      <c r="A76" s="69"/>
      <c r="B76" s="71"/>
      <c r="C76" s="71"/>
      <c r="D76" s="71"/>
      <c r="E76" s="71"/>
    </row>
    <row r="77" spans="1:5" x14ac:dyDescent="0.25">
      <c r="A77" s="69"/>
      <c r="B77" s="71"/>
      <c r="C77" s="71"/>
      <c r="D77" s="71"/>
      <c r="E77" s="71"/>
    </row>
    <row r="78" spans="1:5" x14ac:dyDescent="0.25">
      <c r="A78" s="69"/>
      <c r="B78" s="71"/>
      <c r="C78" s="71"/>
      <c r="D78" s="71"/>
      <c r="E78" s="71"/>
    </row>
    <row r="79" spans="1:5" x14ac:dyDescent="0.25">
      <c r="A79" s="69"/>
      <c r="B79" s="71"/>
      <c r="C79" s="71"/>
      <c r="D79" s="71"/>
      <c r="E79" s="71"/>
    </row>
    <row r="80" spans="1:5" x14ac:dyDescent="0.25">
      <c r="A80" s="69"/>
      <c r="B80" s="71"/>
      <c r="C80" s="71"/>
      <c r="D80" s="71"/>
      <c r="E80" s="71"/>
    </row>
    <row r="81" spans="1:5" x14ac:dyDescent="0.25">
      <c r="A81" s="69"/>
      <c r="B81" s="71"/>
      <c r="C81" s="71"/>
      <c r="D81" s="71"/>
      <c r="E81" s="71"/>
    </row>
    <row r="82" spans="1:5" x14ac:dyDescent="0.25">
      <c r="A82" s="69"/>
      <c r="B82" s="71"/>
      <c r="C82" s="71"/>
      <c r="D82" s="71"/>
      <c r="E82" s="71"/>
    </row>
    <row r="83" spans="1:5" x14ac:dyDescent="0.25">
      <c r="A83" s="69"/>
      <c r="B83" s="71"/>
      <c r="C83" s="71"/>
      <c r="D83" s="71"/>
      <c r="E83" s="71"/>
    </row>
    <row r="84" spans="1:5" x14ac:dyDescent="0.25">
      <c r="A84" s="69"/>
      <c r="B84" s="71"/>
      <c r="C84" s="71"/>
      <c r="D84" s="71"/>
      <c r="E84" s="71"/>
    </row>
    <row r="85" spans="1:5" x14ac:dyDescent="0.25">
      <c r="A85" s="69"/>
      <c r="B85" s="71"/>
      <c r="C85" s="71"/>
      <c r="D85" s="71"/>
      <c r="E85" s="71"/>
    </row>
    <row r="86" spans="1:5" x14ac:dyDescent="0.25">
      <c r="A86" s="69"/>
      <c r="B86" s="71"/>
      <c r="C86" s="71"/>
      <c r="D86" s="71"/>
      <c r="E86" s="71"/>
    </row>
    <row r="87" spans="1:5" x14ac:dyDescent="0.25">
      <c r="A87" s="69"/>
      <c r="B87" s="71"/>
      <c r="C87" s="71"/>
      <c r="D87" s="71"/>
      <c r="E87" s="71"/>
    </row>
    <row r="88" spans="1:5" x14ac:dyDescent="0.25">
      <c r="A88" s="69"/>
      <c r="B88" s="71"/>
      <c r="C88" s="71"/>
      <c r="D88" s="71"/>
      <c r="E88" s="71"/>
    </row>
    <row r="89" spans="1:5" x14ac:dyDescent="0.25">
      <c r="A89" s="69"/>
      <c r="B89" s="71"/>
      <c r="C89" s="71"/>
      <c r="D89" s="71"/>
      <c r="E89" s="71"/>
    </row>
    <row r="90" spans="1:5" x14ac:dyDescent="0.25">
      <c r="A90" s="69"/>
      <c r="B90" s="71"/>
      <c r="C90" s="71"/>
      <c r="D90" s="71"/>
      <c r="E90" s="71"/>
    </row>
    <row r="91" spans="1:5" x14ac:dyDescent="0.25">
      <c r="A91" s="69"/>
      <c r="B91" s="71"/>
      <c r="C91" s="71"/>
      <c r="D91" s="71"/>
      <c r="E91" s="71"/>
    </row>
    <row r="92" spans="1:5" x14ac:dyDescent="0.25">
      <c r="A92" s="69"/>
      <c r="B92" s="71"/>
      <c r="C92" s="71"/>
      <c r="D92" s="71"/>
      <c r="E92" s="71"/>
    </row>
    <row r="93" spans="1:5" x14ac:dyDescent="0.25">
      <c r="A93" s="69"/>
      <c r="B93" s="71"/>
      <c r="C93" s="71"/>
      <c r="D93" s="71"/>
      <c r="E93" s="71"/>
    </row>
    <row r="94" spans="1:5" x14ac:dyDescent="0.25">
      <c r="A94" s="69"/>
      <c r="B94" s="71"/>
      <c r="C94" s="71"/>
      <c r="D94" s="71"/>
      <c r="E94" s="71"/>
    </row>
    <row r="95" spans="1:5" x14ac:dyDescent="0.25">
      <c r="A95" s="69"/>
      <c r="B95" s="71"/>
      <c r="C95" s="71"/>
      <c r="D95" s="71"/>
      <c r="E95" s="71"/>
    </row>
    <row r="96" spans="1:5" x14ac:dyDescent="0.25">
      <c r="A96" s="69"/>
      <c r="B96" s="71"/>
      <c r="C96" s="71"/>
      <c r="D96" s="71"/>
      <c r="E96" s="71"/>
    </row>
    <row r="97" spans="1:5" x14ac:dyDescent="0.25">
      <c r="A97" s="69"/>
      <c r="B97" s="71"/>
      <c r="C97" s="71"/>
      <c r="D97" s="71"/>
      <c r="E97" s="71"/>
    </row>
    <row r="98" spans="1:5" x14ac:dyDescent="0.25">
      <c r="A98" s="69"/>
      <c r="B98" s="71"/>
      <c r="C98" s="71"/>
      <c r="D98" s="71"/>
      <c r="E98" s="71"/>
    </row>
    <row r="99" spans="1:5" x14ac:dyDescent="0.25">
      <c r="A99" s="69"/>
      <c r="B99" s="71"/>
      <c r="C99" s="71"/>
      <c r="D99" s="71"/>
      <c r="E99" s="71"/>
    </row>
    <row r="100" spans="1:5" x14ac:dyDescent="0.25">
      <c r="A100" s="69"/>
      <c r="B100" s="71"/>
      <c r="C100" s="71"/>
      <c r="D100" s="71"/>
      <c r="E100" s="71"/>
    </row>
    <row r="101" spans="1:5" x14ac:dyDescent="0.25">
      <c r="A101" s="69"/>
      <c r="B101" s="71"/>
      <c r="C101" s="71"/>
      <c r="D101" s="71"/>
      <c r="E101" s="71"/>
    </row>
    <row r="102" spans="1:5" x14ac:dyDescent="0.25">
      <c r="A102" s="69"/>
      <c r="B102" s="71"/>
      <c r="C102" s="71"/>
      <c r="D102" s="71"/>
      <c r="E102" s="71"/>
    </row>
    <row r="103" spans="1:5" x14ac:dyDescent="0.25">
      <c r="A103" s="69"/>
      <c r="B103" s="71"/>
      <c r="C103" s="71"/>
      <c r="D103" s="71"/>
      <c r="E103" s="71"/>
    </row>
    <row r="104" spans="1:5" x14ac:dyDescent="0.25">
      <c r="A104" s="69"/>
      <c r="B104" s="71"/>
      <c r="C104" s="71"/>
      <c r="D104" s="71"/>
      <c r="E104" s="71"/>
    </row>
    <row r="105" spans="1:5" x14ac:dyDescent="0.25">
      <c r="A105" s="69"/>
      <c r="B105" s="71"/>
      <c r="C105" s="71"/>
      <c r="D105" s="71"/>
      <c r="E105" s="71"/>
    </row>
    <row r="106" spans="1:5" x14ac:dyDescent="0.25">
      <c r="A106" s="69"/>
      <c r="B106" s="71"/>
      <c r="C106" s="71"/>
      <c r="D106" s="71"/>
      <c r="E106" s="71"/>
    </row>
    <row r="107" spans="1:5" x14ac:dyDescent="0.25">
      <c r="A107" s="69"/>
      <c r="B107" s="71"/>
      <c r="C107" s="71"/>
      <c r="D107" s="71"/>
      <c r="E107" s="71"/>
    </row>
    <row r="108" spans="1:5" x14ac:dyDescent="0.25">
      <c r="A108" s="69"/>
      <c r="B108" s="71"/>
      <c r="C108" s="71"/>
      <c r="D108" s="71"/>
      <c r="E108" s="71"/>
    </row>
    <row r="109" spans="1:5" x14ac:dyDescent="0.25">
      <c r="A109" s="69"/>
      <c r="B109" s="71"/>
      <c r="C109" s="71"/>
      <c r="D109" s="71"/>
      <c r="E109" s="71"/>
    </row>
    <row r="110" spans="1:5" x14ac:dyDescent="0.25">
      <c r="A110" s="69"/>
      <c r="B110" s="71"/>
      <c r="C110" s="71"/>
      <c r="D110" s="71"/>
      <c r="E110" s="71"/>
    </row>
    <row r="111" spans="1:5" x14ac:dyDescent="0.25">
      <c r="A111" s="69"/>
      <c r="B111" s="71"/>
      <c r="C111" s="71"/>
      <c r="D111" s="71"/>
      <c r="E111" s="71"/>
    </row>
    <row r="112" spans="1:5" x14ac:dyDescent="0.25">
      <c r="A112" s="69"/>
      <c r="B112" s="71"/>
      <c r="C112" s="71"/>
      <c r="D112" s="71"/>
      <c r="E112" s="71"/>
    </row>
    <row r="113" spans="1:5" x14ac:dyDescent="0.25">
      <c r="A113" s="69"/>
      <c r="B113" s="71"/>
      <c r="C113" s="71"/>
      <c r="D113" s="71"/>
      <c r="E113" s="71"/>
    </row>
    <row r="114" spans="1:5" x14ac:dyDescent="0.25">
      <c r="A114" s="69"/>
      <c r="B114" s="71"/>
      <c r="C114" s="71"/>
      <c r="D114" s="71"/>
      <c r="E114" s="71"/>
    </row>
    <row r="115" spans="1:5" x14ac:dyDescent="0.25">
      <c r="A115" s="69"/>
      <c r="B115" s="71"/>
      <c r="C115" s="71"/>
      <c r="D115" s="71"/>
      <c r="E115" s="71"/>
    </row>
    <row r="116" spans="1:5" x14ac:dyDescent="0.25">
      <c r="A116" s="69"/>
      <c r="B116" s="71"/>
      <c r="C116" s="71"/>
      <c r="D116" s="71"/>
      <c r="E116" s="71"/>
    </row>
    <row r="117" spans="1:5" x14ac:dyDescent="0.25">
      <c r="A117" s="69"/>
      <c r="B117" s="71"/>
      <c r="C117" s="71"/>
      <c r="D117" s="71"/>
      <c r="E117" s="71"/>
    </row>
    <row r="118" spans="1:5" x14ac:dyDescent="0.25">
      <c r="A118" s="69"/>
      <c r="B118" s="71"/>
      <c r="C118" s="71"/>
      <c r="D118" s="71"/>
      <c r="E118" s="71"/>
    </row>
    <row r="119" spans="1:5" x14ac:dyDescent="0.25">
      <c r="A119" s="69"/>
      <c r="B119" s="71"/>
      <c r="C119" s="71"/>
      <c r="D119" s="71"/>
      <c r="E119" s="71"/>
    </row>
    <row r="120" spans="1:5" x14ac:dyDescent="0.25">
      <c r="A120" s="69"/>
      <c r="B120" s="71"/>
      <c r="C120" s="71"/>
      <c r="D120" s="71"/>
      <c r="E120" s="71"/>
    </row>
    <row r="121" spans="1:5" x14ac:dyDescent="0.25">
      <c r="A121" s="69"/>
      <c r="B121" s="71"/>
      <c r="C121" s="71"/>
      <c r="D121" s="71"/>
      <c r="E121" s="71"/>
    </row>
    <row r="122" spans="1:5" x14ac:dyDescent="0.25">
      <c r="A122" s="69"/>
      <c r="B122" s="71"/>
      <c r="C122" s="71"/>
      <c r="D122" s="71"/>
      <c r="E122" s="71"/>
    </row>
    <row r="123" spans="1:5" x14ac:dyDescent="0.25">
      <c r="A123" s="69"/>
      <c r="B123" s="71"/>
      <c r="C123" s="71"/>
      <c r="D123" s="71"/>
      <c r="E123" s="71"/>
    </row>
    <row r="124" spans="1:5" x14ac:dyDescent="0.25">
      <c r="A124" s="69"/>
      <c r="B124" s="71"/>
      <c r="C124" s="71"/>
      <c r="D124" s="71"/>
      <c r="E124" s="71"/>
    </row>
    <row r="125" spans="1:5" x14ac:dyDescent="0.25">
      <c r="A125" s="69"/>
      <c r="B125" s="71"/>
      <c r="C125" s="71"/>
      <c r="D125" s="71"/>
      <c r="E125" s="71"/>
    </row>
    <row r="126" spans="1:5" x14ac:dyDescent="0.25">
      <c r="A126" s="69"/>
      <c r="B126" s="71"/>
      <c r="C126" s="71"/>
      <c r="D126" s="71"/>
      <c r="E126" s="71"/>
    </row>
    <row r="127" spans="1:5" x14ac:dyDescent="0.25">
      <c r="A127" s="69"/>
      <c r="B127" s="71"/>
      <c r="C127" s="71"/>
      <c r="D127" s="71"/>
      <c r="E127" s="71"/>
    </row>
    <row r="128" spans="1:5" x14ac:dyDescent="0.25">
      <c r="A128" s="69"/>
      <c r="B128" s="71"/>
      <c r="C128" s="71"/>
      <c r="D128" s="71"/>
      <c r="E128" s="71"/>
    </row>
    <row r="129" spans="1:5" x14ac:dyDescent="0.25">
      <c r="A129" s="69"/>
      <c r="B129" s="71"/>
      <c r="C129" s="71"/>
      <c r="D129" s="71"/>
      <c r="E129" s="71"/>
    </row>
    <row r="130" spans="1:5" x14ac:dyDescent="0.25">
      <c r="A130" s="69"/>
      <c r="B130" s="71"/>
      <c r="C130" s="71"/>
      <c r="D130" s="71"/>
      <c r="E130" s="71"/>
    </row>
    <row r="131" spans="1:5" x14ac:dyDescent="0.25">
      <c r="A131" s="69"/>
      <c r="B131" s="71"/>
      <c r="C131" s="71"/>
      <c r="D131" s="71"/>
      <c r="E131" s="71"/>
    </row>
    <row r="132" spans="1:5" x14ac:dyDescent="0.25">
      <c r="A132" s="69"/>
      <c r="B132" s="71"/>
      <c r="C132" s="71"/>
      <c r="D132" s="71"/>
      <c r="E132" s="71"/>
    </row>
    <row r="133" spans="1:5" x14ac:dyDescent="0.25">
      <c r="A133" s="69"/>
      <c r="B133" s="71"/>
      <c r="C133" s="71"/>
      <c r="D133" s="71"/>
      <c r="E133" s="71"/>
    </row>
    <row r="134" spans="1:5" x14ac:dyDescent="0.25">
      <c r="A134" s="69"/>
      <c r="B134" s="71"/>
      <c r="C134" s="71"/>
      <c r="D134" s="71"/>
      <c r="E134" s="71"/>
    </row>
    <row r="135" spans="1:5" x14ac:dyDescent="0.25">
      <c r="A135" s="69"/>
      <c r="B135" s="71"/>
      <c r="C135" s="71"/>
      <c r="D135" s="71"/>
      <c r="E135" s="71"/>
    </row>
    <row r="136" spans="1:5" x14ac:dyDescent="0.25">
      <c r="A136" s="69"/>
      <c r="B136" s="71"/>
      <c r="C136" s="71"/>
      <c r="D136" s="71"/>
      <c r="E136" s="71"/>
    </row>
    <row r="137" spans="1:5" x14ac:dyDescent="0.25">
      <c r="A137" s="69"/>
      <c r="B137" s="71"/>
      <c r="C137" s="71"/>
      <c r="D137" s="71"/>
      <c r="E137" s="71"/>
    </row>
    <row r="138" spans="1:5" x14ac:dyDescent="0.25">
      <c r="A138" s="69"/>
      <c r="B138" s="71"/>
      <c r="C138" s="71"/>
      <c r="D138" s="71"/>
      <c r="E138" s="71"/>
    </row>
    <row r="139" spans="1:5" x14ac:dyDescent="0.25">
      <c r="A139" s="69"/>
      <c r="B139" s="71"/>
      <c r="C139" s="71"/>
      <c r="D139" s="71"/>
      <c r="E139" s="71"/>
    </row>
    <row r="140" spans="1:5" x14ac:dyDescent="0.25">
      <c r="A140" s="69"/>
      <c r="B140" s="71"/>
      <c r="C140" s="71"/>
      <c r="D140" s="71"/>
      <c r="E140" s="71"/>
    </row>
    <row r="141" spans="1:5" x14ac:dyDescent="0.25">
      <c r="A141" s="69"/>
      <c r="B141" s="71"/>
      <c r="C141" s="71"/>
      <c r="D141" s="71"/>
      <c r="E141" s="71"/>
    </row>
    <row r="142" spans="1:5" x14ac:dyDescent="0.25">
      <c r="A142" s="69"/>
      <c r="B142" s="71"/>
      <c r="C142" s="71"/>
      <c r="D142" s="71"/>
      <c r="E142" s="71"/>
    </row>
    <row r="143" spans="1:5" x14ac:dyDescent="0.25">
      <c r="A143" s="69"/>
      <c r="B143" s="71"/>
      <c r="C143" s="71"/>
      <c r="D143" s="71"/>
      <c r="E143" s="71"/>
    </row>
    <row r="144" spans="1:5" x14ac:dyDescent="0.25">
      <c r="A144" s="69"/>
      <c r="B144" s="71"/>
      <c r="C144" s="71"/>
      <c r="D144" s="71"/>
      <c r="E144" s="71"/>
    </row>
    <row r="145" spans="1:5" x14ac:dyDescent="0.25">
      <c r="A145" s="69"/>
      <c r="B145" s="71"/>
      <c r="C145" s="71"/>
      <c r="D145" s="71"/>
      <c r="E145" s="71"/>
    </row>
    <row r="146" spans="1:5" x14ac:dyDescent="0.25">
      <c r="A146" s="69"/>
      <c r="B146" s="71"/>
      <c r="C146" s="71"/>
      <c r="D146" s="71"/>
      <c r="E146" s="71"/>
    </row>
    <row r="147" spans="1:5" x14ac:dyDescent="0.25">
      <c r="A147" s="69"/>
      <c r="B147" s="71"/>
      <c r="C147" s="71"/>
      <c r="D147" s="71"/>
      <c r="E147" s="71"/>
    </row>
    <row r="148" spans="1:5" x14ac:dyDescent="0.25">
      <c r="A148" s="69"/>
      <c r="B148" s="71"/>
      <c r="C148" s="71"/>
      <c r="D148" s="71"/>
      <c r="E148" s="71"/>
    </row>
    <row r="149" spans="1:5" x14ac:dyDescent="0.25">
      <c r="A149" s="69"/>
      <c r="B149" s="71"/>
      <c r="C149" s="71"/>
      <c r="D149" s="71"/>
      <c r="E149" s="71"/>
    </row>
    <row r="150" spans="1:5" x14ac:dyDescent="0.25">
      <c r="A150" s="69"/>
      <c r="B150" s="71"/>
      <c r="C150" s="71"/>
      <c r="D150" s="71"/>
      <c r="E150" s="71"/>
    </row>
    <row r="151" spans="1:5" x14ac:dyDescent="0.25">
      <c r="A151" s="69"/>
      <c r="B151" s="71"/>
      <c r="C151" s="71"/>
      <c r="D151" s="71"/>
      <c r="E151" s="71"/>
    </row>
    <row r="152" spans="1:5" x14ac:dyDescent="0.25">
      <c r="A152" s="69"/>
      <c r="B152" s="71"/>
      <c r="C152" s="71"/>
      <c r="D152" s="71"/>
      <c r="E152" s="71"/>
    </row>
    <row r="153" spans="1:5" x14ac:dyDescent="0.25">
      <c r="A153" s="69"/>
      <c r="B153" s="71"/>
      <c r="C153" s="71"/>
      <c r="D153" s="71"/>
      <c r="E153" s="71"/>
    </row>
    <row r="154" spans="1:5" x14ac:dyDescent="0.25">
      <c r="A154" s="69"/>
      <c r="B154" s="71"/>
      <c r="C154" s="71"/>
      <c r="D154" s="71"/>
      <c r="E154" s="71"/>
    </row>
    <row r="155" spans="1:5" x14ac:dyDescent="0.25">
      <c r="A155" s="69"/>
      <c r="B155" s="71"/>
      <c r="C155" s="71"/>
      <c r="D155" s="71"/>
      <c r="E155" s="71"/>
    </row>
    <row r="156" spans="1:5" x14ac:dyDescent="0.25">
      <c r="A156" s="69"/>
      <c r="B156" s="71"/>
      <c r="C156" s="71"/>
      <c r="D156" s="71"/>
      <c r="E156" s="71"/>
    </row>
    <row r="157" spans="1:5" x14ac:dyDescent="0.25">
      <c r="A157" s="69"/>
      <c r="B157" s="71"/>
      <c r="C157" s="71"/>
      <c r="D157" s="71"/>
      <c r="E157" s="71"/>
    </row>
    <row r="158" spans="1:5" x14ac:dyDescent="0.25">
      <c r="A158" s="69"/>
      <c r="B158" s="71"/>
      <c r="C158" s="71"/>
      <c r="D158" s="71"/>
      <c r="E158" s="71"/>
    </row>
    <row r="159" spans="1:5" x14ac:dyDescent="0.25">
      <c r="A159" s="69"/>
      <c r="B159" s="71"/>
      <c r="C159" s="71"/>
      <c r="D159" s="71"/>
      <c r="E159" s="71"/>
    </row>
    <row r="160" spans="1:5" x14ac:dyDescent="0.25">
      <c r="A160" s="69"/>
      <c r="B160" s="71"/>
      <c r="C160" s="71"/>
      <c r="D160" s="71"/>
      <c r="E160" s="71"/>
    </row>
    <row r="161" spans="1:5" x14ac:dyDescent="0.25">
      <c r="A161" s="69"/>
      <c r="B161" s="71"/>
      <c r="C161" s="71"/>
      <c r="D161" s="71"/>
      <c r="E161" s="71"/>
    </row>
    <row r="162" spans="1:5" x14ac:dyDescent="0.25">
      <c r="A162" s="69"/>
      <c r="B162" s="71"/>
      <c r="C162" s="71"/>
      <c r="D162" s="71"/>
      <c r="E162" s="71"/>
    </row>
    <row r="163" spans="1:5" x14ac:dyDescent="0.25">
      <c r="A163" s="69"/>
      <c r="B163" s="71"/>
      <c r="C163" s="71"/>
      <c r="D163" s="71"/>
      <c r="E163" s="71"/>
    </row>
    <row r="164" spans="1:5" x14ac:dyDescent="0.25">
      <c r="A164" s="69"/>
      <c r="B164" s="71"/>
      <c r="C164" s="71"/>
      <c r="D164" s="71"/>
      <c r="E164" s="71"/>
    </row>
    <row r="165" spans="1:5" x14ac:dyDescent="0.25">
      <c r="A165" s="69"/>
      <c r="B165" s="71"/>
      <c r="C165" s="71"/>
      <c r="D165" s="71"/>
      <c r="E165" s="71"/>
    </row>
    <row r="166" spans="1:5" x14ac:dyDescent="0.25">
      <c r="A166" s="69"/>
      <c r="B166" s="71"/>
      <c r="C166" s="71"/>
      <c r="D166" s="71"/>
      <c r="E166" s="71"/>
    </row>
    <row r="167" spans="1:5" x14ac:dyDescent="0.25">
      <c r="A167" s="69"/>
      <c r="B167" s="71"/>
      <c r="C167" s="71"/>
      <c r="D167" s="71"/>
      <c r="E167" s="71"/>
    </row>
    <row r="168" spans="1:5" x14ac:dyDescent="0.25">
      <c r="A168" s="69"/>
      <c r="B168" s="71"/>
      <c r="C168" s="71"/>
      <c r="D168" s="71"/>
      <c r="E168" s="71"/>
    </row>
    <row r="169" spans="1:5" x14ac:dyDescent="0.25">
      <c r="A169" s="69"/>
      <c r="B169" s="71"/>
      <c r="C169" s="71"/>
      <c r="D169" s="71"/>
      <c r="E169" s="71"/>
    </row>
    <row r="170" spans="1:5" x14ac:dyDescent="0.25">
      <c r="A170" s="69"/>
      <c r="B170" s="71"/>
      <c r="C170" s="71"/>
      <c r="D170" s="71"/>
      <c r="E170" s="71"/>
    </row>
    <row r="171" spans="1:5" x14ac:dyDescent="0.25">
      <c r="A171" s="69"/>
      <c r="B171" s="71"/>
      <c r="C171" s="71"/>
      <c r="D171" s="71"/>
      <c r="E171" s="71"/>
    </row>
    <row r="172" spans="1:5" x14ac:dyDescent="0.25">
      <c r="A172" s="69"/>
      <c r="B172" s="71"/>
      <c r="C172" s="71"/>
      <c r="D172" s="71"/>
      <c r="E172" s="71"/>
    </row>
    <row r="173" spans="1:5" x14ac:dyDescent="0.25">
      <c r="A173" s="69"/>
      <c r="B173" s="71"/>
      <c r="C173" s="71"/>
      <c r="D173" s="71"/>
      <c r="E173" s="71"/>
    </row>
    <row r="174" spans="1:5" x14ac:dyDescent="0.25">
      <c r="A174" s="69"/>
      <c r="B174" s="71"/>
      <c r="C174" s="71"/>
      <c r="D174" s="71"/>
      <c r="E174" s="71"/>
    </row>
    <row r="175" spans="1:5" x14ac:dyDescent="0.25">
      <c r="A175" s="69"/>
      <c r="B175" s="71"/>
      <c r="C175" s="71"/>
      <c r="D175" s="71"/>
      <c r="E175" s="71"/>
    </row>
    <row r="176" spans="1:5" x14ac:dyDescent="0.25">
      <c r="A176" s="69"/>
      <c r="B176" s="71"/>
      <c r="C176" s="71"/>
      <c r="D176" s="71"/>
      <c r="E176" s="71"/>
    </row>
    <row r="177" spans="1:5" x14ac:dyDescent="0.25">
      <c r="A177" s="69"/>
      <c r="B177" s="71"/>
      <c r="C177" s="71"/>
      <c r="D177" s="71"/>
      <c r="E177" s="71"/>
    </row>
    <row r="178" spans="1:5" x14ac:dyDescent="0.25">
      <c r="A178" s="69"/>
      <c r="B178" s="71"/>
      <c r="C178" s="71"/>
      <c r="D178" s="71"/>
      <c r="E178" s="71"/>
    </row>
    <row r="179" spans="1:5" x14ac:dyDescent="0.25">
      <c r="A179" s="69"/>
      <c r="B179" s="71"/>
      <c r="C179" s="71"/>
      <c r="D179" s="71"/>
      <c r="E179" s="71"/>
    </row>
    <row r="180" spans="1:5" x14ac:dyDescent="0.25">
      <c r="A180" s="69"/>
      <c r="B180" s="71"/>
      <c r="C180" s="71"/>
      <c r="D180" s="71"/>
      <c r="E180" s="71"/>
    </row>
    <row r="181" spans="1:5" x14ac:dyDescent="0.25">
      <c r="A181" s="69"/>
      <c r="B181" s="71"/>
      <c r="C181" s="71"/>
      <c r="D181" s="71"/>
      <c r="E181" s="71"/>
    </row>
    <row r="182" spans="1:5" x14ac:dyDescent="0.25">
      <c r="A182" s="69"/>
      <c r="B182" s="71"/>
      <c r="C182" s="71"/>
      <c r="D182" s="71"/>
      <c r="E182" s="71"/>
    </row>
    <row r="183" spans="1:5" x14ac:dyDescent="0.25">
      <c r="A183" s="69"/>
      <c r="B183" s="71"/>
      <c r="C183" s="71"/>
      <c r="D183" s="71"/>
      <c r="E183" s="71"/>
    </row>
    <row r="184" spans="1:5" x14ac:dyDescent="0.25">
      <c r="A184" s="69"/>
      <c r="B184" s="71"/>
      <c r="C184" s="71"/>
      <c r="D184" s="71"/>
      <c r="E184" s="71"/>
    </row>
    <row r="185" spans="1:5" x14ac:dyDescent="0.25">
      <c r="A185" s="69"/>
      <c r="B185" s="71"/>
      <c r="C185" s="71"/>
      <c r="D185" s="71"/>
      <c r="E185" s="71"/>
    </row>
    <row r="186" spans="1:5" x14ac:dyDescent="0.25">
      <c r="A186" s="69"/>
      <c r="B186" s="71"/>
      <c r="C186" s="71"/>
      <c r="D186" s="71"/>
      <c r="E186" s="71"/>
    </row>
    <row r="187" spans="1:5" x14ac:dyDescent="0.25">
      <c r="A187" s="69"/>
      <c r="B187" s="71"/>
      <c r="C187" s="71"/>
      <c r="D187" s="71"/>
      <c r="E187" s="71"/>
    </row>
    <row r="188" spans="1:5" x14ac:dyDescent="0.25">
      <c r="A188" s="69"/>
      <c r="B188" s="71"/>
      <c r="C188" s="71"/>
      <c r="D188" s="71"/>
      <c r="E188" s="71"/>
    </row>
    <row r="189" spans="1:5" x14ac:dyDescent="0.25">
      <c r="A189" s="69"/>
      <c r="B189" s="71"/>
      <c r="C189" s="71"/>
      <c r="D189" s="71"/>
      <c r="E189" s="71"/>
    </row>
    <row r="190" spans="1:5" x14ac:dyDescent="0.25">
      <c r="A190" s="69"/>
      <c r="B190" s="71"/>
      <c r="C190" s="71"/>
      <c r="D190" s="71"/>
      <c r="E190" s="71"/>
    </row>
    <row r="191" spans="1:5" x14ac:dyDescent="0.25">
      <c r="A191" s="69"/>
      <c r="B191" s="71"/>
      <c r="C191" s="71"/>
      <c r="D191" s="71"/>
      <c r="E191" s="71"/>
    </row>
    <row r="192" spans="1:5" x14ac:dyDescent="0.25">
      <c r="A192" s="69"/>
      <c r="B192" s="71"/>
      <c r="C192" s="71"/>
      <c r="D192" s="71"/>
      <c r="E192" s="71"/>
    </row>
    <row r="193" spans="1:5" x14ac:dyDescent="0.25">
      <c r="A193" s="69"/>
      <c r="B193" s="71"/>
      <c r="C193" s="71"/>
      <c r="D193" s="71"/>
      <c r="E193" s="71"/>
    </row>
    <row r="194" spans="1:5" x14ac:dyDescent="0.25">
      <c r="A194" s="69"/>
      <c r="B194" s="71"/>
      <c r="C194" s="71"/>
      <c r="D194" s="71"/>
      <c r="E194" s="71"/>
    </row>
    <row r="195" spans="1:5" x14ac:dyDescent="0.25">
      <c r="A195" s="69"/>
      <c r="B195" s="71"/>
      <c r="C195" s="71"/>
      <c r="D195" s="71"/>
      <c r="E195" s="71"/>
    </row>
    <row r="196" spans="1:5" x14ac:dyDescent="0.25">
      <c r="A196" s="69"/>
      <c r="B196" s="71"/>
      <c r="C196" s="71"/>
      <c r="D196" s="71"/>
      <c r="E196" s="71"/>
    </row>
    <row r="197" spans="1:5" x14ac:dyDescent="0.25">
      <c r="A197" s="69"/>
      <c r="B197" s="71"/>
      <c r="C197" s="71"/>
      <c r="D197" s="71"/>
      <c r="E197" s="71"/>
    </row>
    <row r="198" spans="1:5" x14ac:dyDescent="0.25">
      <c r="A198" s="69"/>
      <c r="B198" s="71"/>
      <c r="C198" s="71"/>
      <c r="D198" s="71"/>
      <c r="E198" s="71"/>
    </row>
    <row r="199" spans="1:5" x14ac:dyDescent="0.25">
      <c r="A199" s="69"/>
      <c r="B199" s="71"/>
      <c r="C199" s="71"/>
      <c r="D199" s="71"/>
      <c r="E199" s="71"/>
    </row>
    <row r="200" spans="1:5" x14ac:dyDescent="0.25">
      <c r="A200" s="69"/>
      <c r="B200" s="71"/>
      <c r="C200" s="71"/>
      <c r="D200" s="71"/>
      <c r="E200" s="71"/>
    </row>
    <row r="201" spans="1:5" x14ac:dyDescent="0.25">
      <c r="A201" s="69"/>
      <c r="B201" s="71"/>
      <c r="C201" s="71"/>
      <c r="D201" s="71"/>
      <c r="E201" s="71"/>
    </row>
    <row r="202" spans="1:5" x14ac:dyDescent="0.25">
      <c r="A202" s="69"/>
      <c r="B202" s="71"/>
      <c r="C202" s="71"/>
      <c r="D202" s="71"/>
      <c r="E202" s="71"/>
    </row>
    <row r="203" spans="1:5" x14ac:dyDescent="0.25">
      <c r="A203" s="69"/>
      <c r="B203" s="71"/>
      <c r="C203" s="71"/>
      <c r="D203" s="71"/>
      <c r="E203" s="71"/>
    </row>
    <row r="204" spans="1:5" x14ac:dyDescent="0.25">
      <c r="A204" s="69"/>
      <c r="B204" s="71"/>
      <c r="C204" s="71"/>
      <c r="D204" s="71"/>
      <c r="E204" s="71"/>
    </row>
    <row r="205" spans="1:5" x14ac:dyDescent="0.25">
      <c r="A205" s="69"/>
      <c r="B205" s="71"/>
      <c r="C205" s="71"/>
      <c r="D205" s="71"/>
      <c r="E205" s="71"/>
    </row>
    <row r="206" spans="1:5" x14ac:dyDescent="0.25">
      <c r="A206" s="69"/>
      <c r="B206" s="71"/>
      <c r="C206" s="71"/>
      <c r="D206" s="71"/>
      <c r="E206" s="71"/>
    </row>
    <row r="207" spans="1:5" x14ac:dyDescent="0.25">
      <c r="A207" s="69"/>
      <c r="B207" s="71"/>
      <c r="C207" s="71"/>
      <c r="D207" s="71"/>
      <c r="E207" s="71"/>
    </row>
    <row r="208" spans="1:5" x14ac:dyDescent="0.25">
      <c r="A208" s="69"/>
      <c r="B208" s="71"/>
      <c r="C208" s="71"/>
      <c r="D208" s="71"/>
      <c r="E208" s="71"/>
    </row>
    <row r="209" spans="1:5" x14ac:dyDescent="0.25">
      <c r="A209" s="69"/>
      <c r="B209" s="71"/>
      <c r="C209" s="71"/>
      <c r="D209" s="71"/>
      <c r="E209" s="71"/>
    </row>
    <row r="210" spans="1:5" x14ac:dyDescent="0.25">
      <c r="A210" s="69"/>
      <c r="B210" s="71"/>
      <c r="C210" s="71"/>
      <c r="D210" s="71"/>
      <c r="E210" s="71"/>
    </row>
    <row r="211" spans="1:5" x14ac:dyDescent="0.25">
      <c r="A211" s="69"/>
      <c r="B211" s="71"/>
      <c r="C211" s="71"/>
      <c r="D211" s="71"/>
      <c r="E211" s="71"/>
    </row>
    <row r="212" spans="1:5" x14ac:dyDescent="0.25">
      <c r="A212" s="69"/>
      <c r="B212" s="71"/>
      <c r="C212" s="71"/>
      <c r="D212" s="71"/>
      <c r="E212" s="71"/>
    </row>
    <row r="213" spans="1:5" x14ac:dyDescent="0.25">
      <c r="A213" s="69"/>
      <c r="B213" s="71"/>
      <c r="C213" s="71"/>
      <c r="D213" s="71"/>
      <c r="E213" s="71"/>
    </row>
    <row r="214" spans="1:5" x14ac:dyDescent="0.25">
      <c r="A214" s="69"/>
      <c r="B214" s="71"/>
      <c r="C214" s="71"/>
      <c r="D214" s="71"/>
      <c r="E214" s="71"/>
    </row>
    <row r="215" spans="1:5" x14ac:dyDescent="0.25">
      <c r="A215" s="69"/>
      <c r="B215" s="71"/>
      <c r="C215" s="71"/>
      <c r="D215" s="71"/>
      <c r="E215" s="71"/>
    </row>
    <row r="216" spans="1:5" x14ac:dyDescent="0.25">
      <c r="A216" s="69"/>
      <c r="B216" s="71"/>
      <c r="C216" s="71"/>
      <c r="D216" s="71"/>
      <c r="E216" s="71"/>
    </row>
    <row r="217" spans="1:5" x14ac:dyDescent="0.25">
      <c r="A217" s="69"/>
      <c r="B217" s="71"/>
      <c r="C217" s="71"/>
      <c r="D217" s="71"/>
      <c r="E217" s="71"/>
    </row>
    <row r="218" spans="1:5" x14ac:dyDescent="0.25">
      <c r="A218" s="69"/>
      <c r="B218" s="71"/>
      <c r="C218" s="71"/>
      <c r="D218" s="71"/>
      <c r="E218" s="71"/>
    </row>
    <row r="219" spans="1:5" x14ac:dyDescent="0.25">
      <c r="A219" s="69"/>
      <c r="B219" s="71"/>
      <c r="C219" s="71"/>
      <c r="D219" s="71"/>
      <c r="E219" s="71"/>
    </row>
    <row r="220" spans="1:5" x14ac:dyDescent="0.25">
      <c r="A220" s="69"/>
      <c r="B220" s="71"/>
      <c r="C220" s="71"/>
      <c r="D220" s="71"/>
      <c r="E220" s="71"/>
    </row>
    <row r="221" spans="1:5" x14ac:dyDescent="0.25">
      <c r="A221" s="69"/>
      <c r="B221" s="71"/>
      <c r="C221" s="71"/>
      <c r="D221" s="71"/>
      <c r="E221" s="71"/>
    </row>
    <row r="222" spans="1:5" x14ac:dyDescent="0.25">
      <c r="A222" s="69"/>
      <c r="B222" s="71"/>
      <c r="C222" s="71"/>
      <c r="D222" s="71"/>
      <c r="E222" s="71"/>
    </row>
    <row r="223" spans="1:5" x14ac:dyDescent="0.25">
      <c r="A223" s="69"/>
      <c r="B223" s="71"/>
      <c r="C223" s="71"/>
      <c r="D223" s="71"/>
      <c r="E223" s="71"/>
    </row>
    <row r="224" spans="1:5" x14ac:dyDescent="0.25">
      <c r="A224" s="69"/>
      <c r="B224" s="71"/>
      <c r="C224" s="71"/>
      <c r="D224" s="71"/>
      <c r="E224" s="71"/>
    </row>
    <row r="225" spans="1:5" x14ac:dyDescent="0.25">
      <c r="A225" s="69"/>
      <c r="B225" s="71"/>
      <c r="C225" s="71"/>
      <c r="D225" s="71"/>
      <c r="E225" s="71"/>
    </row>
    <row r="226" spans="1:5" x14ac:dyDescent="0.25">
      <c r="A226" s="69"/>
      <c r="B226" s="71"/>
      <c r="C226" s="71"/>
      <c r="D226" s="71"/>
      <c r="E226" s="71"/>
    </row>
    <row r="227" spans="1:5" x14ac:dyDescent="0.25">
      <c r="A227" s="69"/>
      <c r="B227" s="71"/>
      <c r="C227" s="71"/>
      <c r="D227" s="71"/>
      <c r="E227" s="71"/>
    </row>
    <row r="228" spans="1:5" x14ac:dyDescent="0.25">
      <c r="A228" s="69"/>
      <c r="B228" s="71"/>
      <c r="C228" s="71"/>
      <c r="D228" s="71"/>
      <c r="E228" s="71"/>
    </row>
    <row r="229" spans="1:5" x14ac:dyDescent="0.25">
      <c r="A229" s="69"/>
      <c r="B229" s="71"/>
      <c r="C229" s="71"/>
      <c r="D229" s="71"/>
      <c r="E229" s="71"/>
    </row>
    <row r="230" spans="1:5" x14ac:dyDescent="0.25">
      <c r="A230" s="69"/>
      <c r="B230" s="71"/>
      <c r="C230" s="71"/>
      <c r="D230" s="71"/>
      <c r="E230" s="71"/>
    </row>
    <row r="231" spans="1:5" x14ac:dyDescent="0.25">
      <c r="A231" s="69"/>
      <c r="B231" s="71"/>
      <c r="C231" s="71"/>
      <c r="D231" s="71"/>
      <c r="E231" s="71"/>
    </row>
    <row r="232" spans="1:5" x14ac:dyDescent="0.25">
      <c r="A232" s="69"/>
      <c r="B232" s="71"/>
      <c r="C232" s="71"/>
      <c r="D232" s="71"/>
      <c r="E232" s="71"/>
    </row>
    <row r="233" spans="1:5" x14ac:dyDescent="0.25">
      <c r="A233" s="69"/>
      <c r="B233" s="71"/>
      <c r="C233" s="71"/>
      <c r="D233" s="71"/>
      <c r="E233" s="71"/>
    </row>
    <row r="234" spans="1:5" x14ac:dyDescent="0.25">
      <c r="A234" s="69"/>
      <c r="B234" s="71"/>
      <c r="C234" s="71"/>
      <c r="D234" s="71"/>
      <c r="E234" s="71"/>
    </row>
    <row r="235" spans="1:5" x14ac:dyDescent="0.25">
      <c r="A235" s="69"/>
      <c r="B235" s="71"/>
      <c r="C235" s="71"/>
      <c r="D235" s="71"/>
      <c r="E235" s="71"/>
    </row>
    <row r="236" spans="1:5" x14ac:dyDescent="0.25">
      <c r="A236" s="69"/>
      <c r="B236" s="71"/>
      <c r="C236" s="71"/>
      <c r="D236" s="71"/>
      <c r="E236" s="71"/>
    </row>
    <row r="237" spans="1:5" x14ac:dyDescent="0.25">
      <c r="A237" s="69"/>
      <c r="B237" s="71"/>
      <c r="C237" s="71"/>
      <c r="D237" s="71"/>
      <c r="E237" s="71"/>
    </row>
    <row r="238" spans="1:5" x14ac:dyDescent="0.25">
      <c r="A238" s="69"/>
      <c r="B238" s="71"/>
      <c r="C238" s="71"/>
      <c r="D238" s="71"/>
      <c r="E238" s="71"/>
    </row>
    <row r="239" spans="1:5" x14ac:dyDescent="0.25">
      <c r="A239" s="69"/>
      <c r="B239" s="71"/>
      <c r="C239" s="71"/>
      <c r="D239" s="71"/>
      <c r="E239" s="71"/>
    </row>
    <row r="240" spans="1:5" x14ac:dyDescent="0.25">
      <c r="A240" s="69"/>
      <c r="B240" s="71"/>
      <c r="C240" s="71"/>
      <c r="D240" s="71"/>
      <c r="E240" s="71"/>
    </row>
    <row r="241" spans="1:5" x14ac:dyDescent="0.25">
      <c r="A241" s="69"/>
      <c r="B241" s="71"/>
      <c r="C241" s="71"/>
      <c r="D241" s="71"/>
      <c r="E241" s="71"/>
    </row>
    <row r="242" spans="1:5" x14ac:dyDescent="0.25">
      <c r="A242" s="69"/>
      <c r="B242" s="71"/>
      <c r="C242" s="71"/>
      <c r="D242" s="71"/>
      <c r="E242" s="71"/>
    </row>
    <row r="243" spans="1:5" x14ac:dyDescent="0.25">
      <c r="A243" s="69"/>
      <c r="B243" s="71"/>
      <c r="C243" s="71"/>
      <c r="D243" s="71"/>
      <c r="E243" s="71"/>
    </row>
    <row r="244" spans="1:5" x14ac:dyDescent="0.25">
      <c r="A244" s="69"/>
      <c r="B244" s="71"/>
      <c r="C244" s="71"/>
      <c r="D244" s="71"/>
      <c r="E244" s="71"/>
    </row>
    <row r="245" spans="1:5" x14ac:dyDescent="0.25">
      <c r="A245" s="69"/>
      <c r="B245" s="71"/>
      <c r="C245" s="71"/>
      <c r="D245" s="71"/>
      <c r="E245" s="71"/>
    </row>
    <row r="246" spans="1:5" x14ac:dyDescent="0.25">
      <c r="A246" s="69"/>
      <c r="B246" s="71"/>
      <c r="C246" s="71"/>
      <c r="D246" s="71"/>
      <c r="E246" s="71"/>
    </row>
    <row r="247" spans="1:5" x14ac:dyDescent="0.25">
      <c r="A247" s="69"/>
      <c r="B247" s="71"/>
      <c r="C247" s="71"/>
      <c r="D247" s="71"/>
      <c r="E247" s="71"/>
    </row>
    <row r="248" spans="1:5" x14ac:dyDescent="0.25">
      <c r="A248" s="69"/>
      <c r="B248" s="71"/>
      <c r="C248" s="71"/>
      <c r="D248" s="71"/>
      <c r="E248" s="71"/>
    </row>
    <row r="249" spans="1:5" x14ac:dyDescent="0.25">
      <c r="A249" s="69"/>
      <c r="B249" s="71"/>
      <c r="C249" s="71"/>
      <c r="D249" s="71"/>
      <c r="E249" s="71"/>
    </row>
    <row r="250" spans="1:5" x14ac:dyDescent="0.25">
      <c r="A250" s="69"/>
      <c r="B250" s="71"/>
      <c r="C250" s="71"/>
      <c r="D250" s="71"/>
      <c r="E250" s="71"/>
    </row>
    <row r="251" spans="1:5" x14ac:dyDescent="0.25">
      <c r="A251" s="69"/>
      <c r="B251" s="71"/>
      <c r="C251" s="71"/>
      <c r="D251" s="71"/>
      <c r="E251" s="71"/>
    </row>
    <row r="252" spans="1:5" x14ac:dyDescent="0.25">
      <c r="A252" s="69"/>
      <c r="B252" s="71"/>
      <c r="C252" s="71"/>
      <c r="D252" s="71"/>
      <c r="E252" s="71"/>
    </row>
    <row r="253" spans="1:5" x14ac:dyDescent="0.25">
      <c r="A253" s="69"/>
      <c r="B253" s="71"/>
      <c r="C253" s="71"/>
      <c r="D253" s="71"/>
      <c r="E253" s="71"/>
    </row>
    <row r="254" spans="1:5" x14ac:dyDescent="0.25">
      <c r="A254" s="69"/>
      <c r="B254" s="71"/>
      <c r="C254" s="71"/>
      <c r="D254" s="71"/>
      <c r="E254" s="71"/>
    </row>
    <row r="255" spans="1:5" x14ac:dyDescent="0.25">
      <c r="A255" s="69"/>
      <c r="B255" s="71"/>
      <c r="C255" s="71"/>
      <c r="D255" s="71"/>
      <c r="E255" s="71"/>
    </row>
    <row r="256" spans="1:5" x14ac:dyDescent="0.25">
      <c r="A256" s="69"/>
      <c r="B256" s="71"/>
      <c r="C256" s="71"/>
      <c r="D256" s="71"/>
      <c r="E256" s="71"/>
    </row>
    <row r="257" spans="1:5" x14ac:dyDescent="0.25">
      <c r="A257" s="69"/>
      <c r="B257" s="71"/>
      <c r="C257" s="71"/>
      <c r="D257" s="71"/>
      <c r="E257" s="71"/>
    </row>
    <row r="258" spans="1:5" x14ac:dyDescent="0.25">
      <c r="A258" s="69"/>
      <c r="B258" s="71"/>
      <c r="C258" s="71"/>
      <c r="D258" s="71"/>
      <c r="E258" s="71"/>
    </row>
    <row r="259" spans="1:5" x14ac:dyDescent="0.25">
      <c r="A259" s="69"/>
      <c r="B259" s="71"/>
      <c r="C259" s="71"/>
      <c r="D259" s="71"/>
      <c r="E259" s="71"/>
    </row>
    <row r="260" spans="1:5" x14ac:dyDescent="0.25">
      <c r="A260" s="69"/>
      <c r="B260" s="71"/>
      <c r="C260" s="71"/>
      <c r="D260" s="71"/>
      <c r="E260" s="71"/>
    </row>
    <row r="261" spans="1:5" x14ac:dyDescent="0.25">
      <c r="A261" s="69"/>
      <c r="B261" s="71"/>
      <c r="C261" s="71"/>
      <c r="D261" s="71"/>
      <c r="E261" s="71"/>
    </row>
    <row r="262" spans="1:5" x14ac:dyDescent="0.25">
      <c r="A262" s="69"/>
      <c r="B262" s="71"/>
      <c r="C262" s="71"/>
      <c r="D262" s="71"/>
      <c r="E262" s="71"/>
    </row>
    <row r="263" spans="1:5" x14ac:dyDescent="0.25">
      <c r="A263" s="69"/>
      <c r="B263" s="71"/>
      <c r="C263" s="71"/>
      <c r="D263" s="71"/>
      <c r="E263" s="71"/>
    </row>
    <row r="264" spans="1:5" x14ac:dyDescent="0.25">
      <c r="A264" s="69"/>
      <c r="B264" s="71"/>
      <c r="C264" s="71"/>
      <c r="D264" s="71"/>
      <c r="E264" s="71"/>
    </row>
    <row r="265" spans="1:5" x14ac:dyDescent="0.25">
      <c r="A265" s="69"/>
      <c r="B265" s="71"/>
      <c r="C265" s="71"/>
      <c r="D265" s="71"/>
      <c r="E265" s="71"/>
    </row>
    <row r="266" spans="1:5" x14ac:dyDescent="0.25">
      <c r="A266" s="69"/>
      <c r="B266" s="71"/>
      <c r="C266" s="71"/>
      <c r="D266" s="71"/>
      <c r="E266" s="71"/>
    </row>
    <row r="267" spans="1:5" x14ac:dyDescent="0.25">
      <c r="A267" s="69"/>
      <c r="B267" s="71"/>
      <c r="C267" s="71"/>
      <c r="D267" s="71"/>
      <c r="E267" s="71"/>
    </row>
    <row r="268" spans="1:5" x14ac:dyDescent="0.25">
      <c r="A268" s="69"/>
      <c r="B268" s="71"/>
      <c r="C268" s="71"/>
      <c r="D268" s="71"/>
      <c r="E268" s="71"/>
    </row>
    <row r="269" spans="1:5" x14ac:dyDescent="0.25">
      <c r="A269" s="69"/>
      <c r="B269" s="71"/>
      <c r="C269" s="71"/>
      <c r="D269" s="71"/>
      <c r="E269" s="71"/>
    </row>
    <row r="270" spans="1:5" x14ac:dyDescent="0.25">
      <c r="A270" s="69"/>
      <c r="B270" s="71"/>
      <c r="C270" s="71"/>
      <c r="D270" s="71"/>
      <c r="E270" s="71"/>
    </row>
    <row r="271" spans="1:5" x14ac:dyDescent="0.25">
      <c r="A271" s="69"/>
      <c r="B271" s="71"/>
      <c r="C271" s="71"/>
      <c r="D271" s="71"/>
      <c r="E271" s="71"/>
    </row>
    <row r="272" spans="1:5" x14ac:dyDescent="0.25">
      <c r="A272" s="69"/>
      <c r="B272" s="71"/>
      <c r="C272" s="71"/>
      <c r="D272" s="71"/>
      <c r="E272" s="71"/>
    </row>
    <row r="273" spans="1:5" x14ac:dyDescent="0.25">
      <c r="A273" s="69"/>
      <c r="B273" s="71"/>
      <c r="C273" s="71"/>
      <c r="D273" s="71"/>
      <c r="E273" s="71"/>
    </row>
    <row r="274" spans="1:5" x14ac:dyDescent="0.25">
      <c r="A274" s="69"/>
      <c r="B274" s="71"/>
      <c r="C274" s="71"/>
      <c r="D274" s="71"/>
      <c r="E274" s="71"/>
    </row>
    <row r="275" spans="1:5" x14ac:dyDescent="0.25">
      <c r="A275" s="69"/>
      <c r="B275" s="71"/>
      <c r="C275" s="71"/>
      <c r="D275" s="71"/>
      <c r="E275" s="71"/>
    </row>
    <row r="276" spans="1:5" x14ac:dyDescent="0.25">
      <c r="A276" s="69"/>
      <c r="B276" s="71"/>
      <c r="C276" s="71"/>
      <c r="D276" s="71"/>
      <c r="E276" s="71"/>
    </row>
    <row r="277" spans="1:5" x14ac:dyDescent="0.25">
      <c r="A277" s="69"/>
      <c r="B277" s="71"/>
      <c r="C277" s="71"/>
      <c r="D277" s="71"/>
      <c r="E277" s="71"/>
    </row>
    <row r="278" spans="1:5" x14ac:dyDescent="0.25">
      <c r="A278" s="69"/>
      <c r="B278" s="71"/>
      <c r="C278" s="71"/>
      <c r="D278" s="71"/>
      <c r="E278" s="71"/>
    </row>
    <row r="279" spans="1:5" x14ac:dyDescent="0.25">
      <c r="A279" s="69"/>
      <c r="B279" s="71"/>
      <c r="C279" s="71"/>
      <c r="D279" s="71"/>
      <c r="E279" s="71"/>
    </row>
    <row r="280" spans="1:5" x14ac:dyDescent="0.25">
      <c r="A280" s="69"/>
      <c r="B280" s="71"/>
      <c r="C280" s="71"/>
      <c r="D280" s="71"/>
      <c r="E280" s="71"/>
    </row>
    <row r="281" spans="1:5" x14ac:dyDescent="0.25">
      <c r="A281" s="69"/>
      <c r="B281" s="71"/>
      <c r="C281" s="71"/>
      <c r="D281" s="71"/>
      <c r="E281" s="71"/>
    </row>
    <row r="282" spans="1:5" x14ac:dyDescent="0.25">
      <c r="A282" s="69"/>
      <c r="B282" s="71"/>
      <c r="C282" s="71"/>
      <c r="D282" s="71"/>
      <c r="E282" s="71"/>
    </row>
    <row r="283" spans="1:5" x14ac:dyDescent="0.25">
      <c r="A283" s="69"/>
      <c r="B283" s="71"/>
      <c r="C283" s="71"/>
      <c r="D283" s="71"/>
      <c r="E283" s="71"/>
    </row>
    <row r="284" spans="1:5" x14ac:dyDescent="0.25">
      <c r="A284" s="69"/>
      <c r="B284" s="71"/>
      <c r="C284" s="71"/>
      <c r="D284" s="71"/>
      <c r="E284" s="71"/>
    </row>
    <row r="285" spans="1:5" x14ac:dyDescent="0.25">
      <c r="A285" s="69"/>
      <c r="B285" s="71"/>
      <c r="C285" s="71"/>
      <c r="D285" s="71"/>
      <c r="E285" s="71"/>
    </row>
    <row r="286" spans="1:5" x14ac:dyDescent="0.25">
      <c r="A286" s="69"/>
      <c r="B286" s="71"/>
      <c r="C286" s="71"/>
      <c r="D286" s="71"/>
      <c r="E286" s="71"/>
    </row>
    <row r="287" spans="1:5" x14ac:dyDescent="0.25">
      <c r="A287" s="69"/>
      <c r="B287" s="71"/>
      <c r="C287" s="71"/>
      <c r="D287" s="71"/>
      <c r="E287" s="71"/>
    </row>
    <row r="288" spans="1:5" x14ac:dyDescent="0.25">
      <c r="A288" s="69"/>
      <c r="B288" s="71"/>
      <c r="C288" s="71"/>
      <c r="D288" s="71"/>
      <c r="E288" s="71"/>
    </row>
    <row r="289" spans="1:5" x14ac:dyDescent="0.25">
      <c r="A289" s="69"/>
      <c r="B289" s="71"/>
      <c r="C289" s="71"/>
      <c r="D289" s="71"/>
      <c r="E289" s="71"/>
    </row>
    <row r="290" spans="1:5" x14ac:dyDescent="0.25">
      <c r="A290" s="69"/>
      <c r="B290" s="71"/>
      <c r="C290" s="71"/>
      <c r="D290" s="71"/>
      <c r="E290" s="71"/>
    </row>
    <row r="291" spans="1:5" x14ac:dyDescent="0.25">
      <c r="A291" s="69"/>
      <c r="B291" s="71"/>
      <c r="C291" s="71"/>
      <c r="D291" s="71"/>
      <c r="E291" s="71"/>
    </row>
    <row r="292" spans="1:5" x14ac:dyDescent="0.25">
      <c r="A292" s="69"/>
      <c r="B292" s="71"/>
      <c r="C292" s="71"/>
      <c r="D292" s="71"/>
      <c r="E292" s="71"/>
    </row>
    <row r="293" spans="1:5" x14ac:dyDescent="0.25">
      <c r="A293" s="69"/>
      <c r="B293" s="71"/>
      <c r="C293" s="71"/>
      <c r="D293" s="71"/>
      <c r="E293" s="71"/>
    </row>
    <row r="294" spans="1:5" x14ac:dyDescent="0.25">
      <c r="A294" s="69"/>
      <c r="B294" s="71"/>
      <c r="C294" s="71"/>
      <c r="D294" s="71"/>
      <c r="E294" s="71"/>
    </row>
    <row r="295" spans="1:5" x14ac:dyDescent="0.25">
      <c r="A295" s="69"/>
      <c r="B295" s="71"/>
      <c r="C295" s="71"/>
      <c r="D295" s="71"/>
      <c r="E295" s="71"/>
    </row>
    <row r="296" spans="1:5" x14ac:dyDescent="0.25">
      <c r="A296" s="69"/>
      <c r="B296" s="71"/>
      <c r="C296" s="71"/>
      <c r="D296" s="71"/>
      <c r="E296" s="71"/>
    </row>
    <row r="297" spans="1:5" x14ac:dyDescent="0.25">
      <c r="A297" s="69"/>
      <c r="B297" s="71"/>
      <c r="C297" s="71"/>
      <c r="D297" s="71"/>
      <c r="E297" s="71"/>
    </row>
    <row r="298" spans="1:5" x14ac:dyDescent="0.25">
      <c r="A298" s="69"/>
      <c r="B298" s="71"/>
      <c r="C298" s="71"/>
      <c r="D298" s="71"/>
      <c r="E298" s="71"/>
    </row>
    <row r="299" spans="1:5" x14ac:dyDescent="0.25">
      <c r="A299" s="69"/>
      <c r="B299" s="71"/>
      <c r="C299" s="71"/>
      <c r="D299" s="71"/>
      <c r="E299" s="71"/>
    </row>
    <row r="300" spans="1:5" x14ac:dyDescent="0.25">
      <c r="A300" s="69"/>
      <c r="B300" s="71"/>
      <c r="C300" s="71"/>
      <c r="D300" s="71"/>
      <c r="E300" s="71"/>
    </row>
    <row r="301" spans="1:5" x14ac:dyDescent="0.25">
      <c r="A301" s="69"/>
      <c r="B301" s="71"/>
      <c r="C301" s="71"/>
      <c r="D301" s="71"/>
      <c r="E301" s="71"/>
    </row>
    <row r="302" spans="1:5" x14ac:dyDescent="0.25">
      <c r="A302" s="69"/>
      <c r="B302" s="71"/>
      <c r="C302" s="71"/>
      <c r="D302" s="71"/>
      <c r="E302" s="71"/>
    </row>
    <row r="303" spans="1:5" x14ac:dyDescent="0.25">
      <c r="A303" s="69"/>
      <c r="B303" s="71"/>
      <c r="C303" s="71"/>
      <c r="D303" s="71"/>
      <c r="E303" s="71"/>
    </row>
    <row r="304" spans="1:5" x14ac:dyDescent="0.25">
      <c r="A304" s="69"/>
      <c r="B304" s="71"/>
      <c r="C304" s="71"/>
      <c r="D304" s="71"/>
      <c r="E304" s="71"/>
    </row>
    <row r="305" spans="1:5" x14ac:dyDescent="0.25">
      <c r="A305" s="69"/>
      <c r="B305" s="71"/>
      <c r="C305" s="71"/>
      <c r="D305" s="71"/>
      <c r="E305" s="71"/>
    </row>
    <row r="306" spans="1:5" x14ac:dyDescent="0.25">
      <c r="A306" s="69"/>
      <c r="B306" s="71"/>
      <c r="C306" s="71"/>
      <c r="D306" s="71"/>
      <c r="E306" s="71"/>
    </row>
    <row r="307" spans="1:5" x14ac:dyDescent="0.25">
      <c r="A307" s="69"/>
      <c r="B307" s="71"/>
      <c r="C307" s="71"/>
      <c r="D307" s="71"/>
      <c r="E307" s="71"/>
    </row>
    <row r="308" spans="1:5" x14ac:dyDescent="0.25">
      <c r="A308" s="69"/>
      <c r="B308" s="71"/>
      <c r="C308" s="71"/>
      <c r="D308" s="71"/>
      <c r="E308" s="71"/>
    </row>
    <row r="309" spans="1:5" x14ac:dyDescent="0.25">
      <c r="A309" s="69"/>
      <c r="B309" s="71"/>
      <c r="C309" s="71"/>
      <c r="D309" s="71"/>
      <c r="E309" s="71"/>
    </row>
    <row r="310" spans="1:5" x14ac:dyDescent="0.25">
      <c r="A310" s="69"/>
      <c r="B310" s="71"/>
      <c r="C310" s="71"/>
      <c r="D310" s="71"/>
      <c r="E310" s="71"/>
    </row>
    <row r="311" spans="1:5" x14ac:dyDescent="0.25">
      <c r="B311" s="71"/>
      <c r="C311" s="71"/>
      <c r="D311" s="71"/>
      <c r="E311" s="71"/>
    </row>
    <row r="312" spans="1:5" x14ac:dyDescent="0.25">
      <c r="B312" s="71"/>
      <c r="C312" s="71"/>
      <c r="D312" s="71"/>
      <c r="E312" s="71"/>
    </row>
    <row r="313" spans="1:5" x14ac:dyDescent="0.25">
      <c r="B313" s="71"/>
      <c r="C313" s="71"/>
      <c r="D313" s="71"/>
      <c r="E313" s="71"/>
    </row>
    <row r="314" spans="1:5" x14ac:dyDescent="0.25">
      <c r="B314" s="71"/>
      <c r="C314" s="71"/>
      <c r="D314" s="71"/>
      <c r="E314" s="71"/>
    </row>
    <row r="315" spans="1:5" x14ac:dyDescent="0.25">
      <c r="B315" s="71"/>
      <c r="C315" s="71"/>
      <c r="D315" s="71"/>
      <c r="E315" s="71"/>
    </row>
    <row r="316" spans="1:5" x14ac:dyDescent="0.25">
      <c r="B316" s="71"/>
      <c r="C316" s="71"/>
      <c r="D316" s="71"/>
      <c r="E316" s="71"/>
    </row>
    <row r="317" spans="1:5" x14ac:dyDescent="0.25">
      <c r="B317" s="71"/>
      <c r="C317" s="71"/>
      <c r="D317" s="71"/>
      <c r="E317" s="71"/>
    </row>
    <row r="318" spans="1:5" x14ac:dyDescent="0.25">
      <c r="B318" s="71"/>
      <c r="C318" s="71"/>
      <c r="D318" s="71"/>
      <c r="E318" s="71"/>
    </row>
    <row r="319" spans="1:5" x14ac:dyDescent="0.25">
      <c r="B319" s="71"/>
      <c r="C319" s="71"/>
      <c r="D319" s="71"/>
      <c r="E319" s="71"/>
    </row>
    <row r="320" spans="1:5" x14ac:dyDescent="0.25">
      <c r="B320" s="71"/>
      <c r="C320" s="71"/>
      <c r="D320" s="71"/>
      <c r="E320" s="71"/>
    </row>
  </sheetData>
  <mergeCells count="3">
    <mergeCell ref="B4:E4"/>
    <mergeCell ref="F4:I4"/>
    <mergeCell ref="J4:L4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Design Review Top</vt:lpstr>
      <vt:lpstr>Review Checklist</vt:lpstr>
      <vt:lpstr>New Library Parts</vt:lpstr>
      <vt:lpstr>PCA Change 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Davis</dc:creator>
  <cp:lastModifiedBy>Jeremy Davis</cp:lastModifiedBy>
  <cp:lastPrinted>2014-12-17T21:23:39Z</cp:lastPrinted>
  <dcterms:created xsi:type="dcterms:W3CDTF">2014-11-25T17:23:56Z</dcterms:created>
  <dcterms:modified xsi:type="dcterms:W3CDTF">2015-07-28T20:38:29Z</dcterms:modified>
</cp:coreProperties>
</file>